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KSS\Coachx.live\Excel\20199145-Assignment\Assignment\"/>
    </mc:Choice>
  </mc:AlternateContent>
  <xr:revisionPtr revIDLastSave="0" documentId="13_ncr:1_{C944C457-CC69-4693-8AC1-DB8275B6A935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Finance_Instructions" sheetId="1" r:id="rId1"/>
    <sheet name="Finance_Data" sheetId="2" r:id="rId2"/>
    <sheet name="HR_Instructions" sheetId="3" r:id="rId3"/>
    <sheet name="HR_Data" sheetId="4" r:id="rId4"/>
    <sheet name="Operations_Instructions" sheetId="5" r:id="rId5"/>
    <sheet name="Operations_Data" sheetId="6" r:id="rId6"/>
  </sheets>
  <definedNames>
    <definedName name="_xlnm._FilterDatabase" localSheetId="1" hidden="1">Finance_Data!$A$1:$F$301</definedName>
    <definedName name="_xlnm._FilterDatabase" localSheetId="3" hidden="1">HR_Data!$A$1:$F$251</definedName>
    <definedName name="_xlnm._FilterDatabase" localSheetId="5" hidden="1">Operations_Data!$A$1:$G$201</definedName>
    <definedName name="_xlnm.Print_Area" localSheetId="1">Finance_Data!$A$1:$N$301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6" l="1"/>
  <c r="N26" i="6"/>
  <c r="N25" i="6"/>
  <c r="N6" i="6"/>
  <c r="N5" i="6"/>
  <c r="N4" i="6"/>
  <c r="L27" i="6"/>
  <c r="K26" i="6"/>
  <c r="J25" i="6" a="1"/>
  <c r="J25" i="6" s="1"/>
  <c r="K25" i="6" s="1"/>
  <c r="J4" i="6" a="1"/>
  <c r="J4" i="6" s="1"/>
  <c r="L4" i="6" s="1"/>
  <c r="L38" i="4"/>
  <c r="L37" i="4"/>
  <c r="L36" i="4"/>
  <c r="L35" i="4"/>
  <c r="L31" i="4"/>
  <c r="L30" i="4"/>
  <c r="L29" i="4"/>
  <c r="L28" i="4"/>
  <c r="K35" i="4" a="1"/>
  <c r="K35" i="4" s="1"/>
  <c r="K28" i="4" a="1"/>
  <c r="K28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" i="4"/>
  <c r="L18" i="4"/>
  <c r="L17" i="4"/>
  <c r="K11" i="4" a="1"/>
  <c r="K11" i="4" s="1"/>
  <c r="M11" i="4" s="1"/>
  <c r="L8" i="4"/>
  <c r="L7" i="4"/>
  <c r="K41" i="2"/>
  <c r="K39" i="2"/>
  <c r="K40" i="2"/>
  <c r="K38" i="2"/>
  <c r="J38" i="2" a="1"/>
  <c r="K33" i="2"/>
  <c r="K32" i="2"/>
  <c r="K31" i="2"/>
  <c r="J30" i="2" a="1"/>
  <c r="K23" i="2"/>
  <c r="K24" i="2"/>
  <c r="K26" i="2"/>
  <c r="K25" i="2"/>
  <c r="J23" i="2" a="1"/>
  <c r="J23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2" i="2"/>
  <c r="K14" i="2"/>
  <c r="K13" i="2"/>
  <c r="K10" i="2"/>
  <c r="K9" i="2"/>
  <c r="K8" i="2"/>
  <c r="K7" i="2"/>
  <c r="K27" i="6" l="1"/>
  <c r="M25" i="6"/>
  <c r="L25" i="6"/>
  <c r="M26" i="6"/>
  <c r="L26" i="6"/>
  <c r="M27" i="6"/>
  <c r="K4" i="6"/>
  <c r="L5" i="6"/>
  <c r="M6" i="6"/>
  <c r="K5" i="6"/>
  <c r="L6" i="6"/>
  <c r="K6" i="6"/>
  <c r="M4" i="6"/>
  <c r="M5" i="6"/>
  <c r="M13" i="4"/>
  <c r="M14" i="4"/>
  <c r="M12" i="4"/>
  <c r="L11" i="4"/>
  <c r="L12" i="4"/>
  <c r="L13" i="4"/>
  <c r="L14" i="4"/>
  <c r="J38" i="2"/>
  <c r="J30" i="2"/>
  <c r="K3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<sst xmlns="http://schemas.openxmlformats.org/spreadsheetml/2006/main" count="2858" uniqueCount="844">
  <si>
    <t>FINANCE ASSIGNMENTS (300 Records)</t>
  </si>
  <si>
    <t>Tasks:</t>
  </si>
  <si>
    <t>1. Calculate Total, Average, Maximum and Minimum Expenses.</t>
  </si>
  <si>
    <t>2. Count number of transactions and blank amounts.</t>
  </si>
  <si>
    <t>3. Use IF to classify transactions as High / Medium / Low value.</t>
  </si>
  <si>
    <t>4. Use IF with AND to identify Approved High-Value transactions.</t>
  </si>
  <si>
    <t>5. Use Nested IF to grade expense risk levels.</t>
  </si>
  <si>
    <t>6. Use SUMIF to calculate total expenses by Department.</t>
  </si>
  <si>
    <t>7. Use COUNTIF to count transactions by Category.</t>
  </si>
  <si>
    <t>8. Use AVERAGEIF to calculate average expense per Category.</t>
  </si>
  <si>
    <t>Transaction ID</t>
  </si>
  <si>
    <t>Department</t>
  </si>
  <si>
    <t>Category</t>
  </si>
  <si>
    <t>Expense Amount</t>
  </si>
  <si>
    <t>Budget Limit</t>
  </si>
  <si>
    <t>Approval Status</t>
  </si>
  <si>
    <t>T0001</t>
  </si>
  <si>
    <t>HR</t>
  </si>
  <si>
    <t>Utilities</t>
  </si>
  <si>
    <t>Pending</t>
  </si>
  <si>
    <t>T0002</t>
  </si>
  <si>
    <t>IT</t>
  </si>
  <si>
    <t>Supplies</t>
  </si>
  <si>
    <t>Approved</t>
  </si>
  <si>
    <t>T0003</t>
  </si>
  <si>
    <t>Finance</t>
  </si>
  <si>
    <t>Rejected</t>
  </si>
  <si>
    <t>T0004</t>
  </si>
  <si>
    <t>T0005</t>
  </si>
  <si>
    <t>T0006</t>
  </si>
  <si>
    <t>Travel</t>
  </si>
  <si>
    <t>T0007</t>
  </si>
  <si>
    <t>T0008</t>
  </si>
  <si>
    <t>Operations</t>
  </si>
  <si>
    <t>T0009</t>
  </si>
  <si>
    <t>T0010</t>
  </si>
  <si>
    <t>T0011</t>
  </si>
  <si>
    <t>T0012</t>
  </si>
  <si>
    <t>Training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</si>
  <si>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</si>
  <si>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</si>
  <si>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</si>
  <si>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</si>
  <si>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</si>
  <si>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</si>
  <si>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</si>
  <si>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</si>
  <si>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</si>
  <si>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</si>
  <si>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</si>
  <si>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</si>
  <si>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</si>
  <si>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</si>
  <si>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</si>
  <si>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</si>
  <si>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</si>
  <si>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</si>
  <si>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</si>
  <si>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</si>
  <si>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</si>
  <si>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</si>
  <si>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</si>
  <si>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</si>
  <si>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</si>
  <si>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</si>
  <si>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</si>
  <si>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</si>
  <si>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</si>
  <si>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</si>
  <si>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</si>
  <si>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</si>
  <si>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</si>
  <si>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</si>
  <si>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</si>
  <si>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</si>
  <si>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</si>
  <si>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</si>
  <si>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</si>
  <si>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</si>
  <si>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</si>
  <si>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</si>
  <si>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</si>
  <si>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</si>
  <si>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</si>
  <si>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</si>
  <si>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</si>
  <si>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</si>
  <si>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</si>
  <si>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</si>
  <si>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</si>
  <si>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</si>
  <si>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</si>
  <si>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</si>
  <si>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</si>
  <si>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</si>
  <si>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</si>
  <si>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</si>
  <si>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</si>
  <si>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</si>
  <si>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</si>
  <si>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</si>
  <si>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</si>
  <si>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</si>
  <si>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</si>
  <si>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</si>
  <si>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</si>
  <si>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</si>
  <si>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</si>
  <si>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</si>
  <si>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</si>
  <si>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</si>
  <si>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</si>
  <si>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</si>
  <si>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</si>
  <si>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</si>
  <si>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</si>
  <si>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</si>
  <si>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</si>
  <si>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</si>
  <si>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</si>
  <si>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</si>
  <si>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</si>
  <si>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</si>
  <si>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</si>
  <si>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</si>
  <si>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</si>
  <si>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</si>
  <si>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</si>
  <si>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</si>
  <si>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</si>
  <si>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</si>
  <si>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</si>
  <si>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</si>
  <si>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</si>
  <si>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</si>
  <si>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</si>
  <si>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</si>
  <si>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</si>
  <si>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</si>
  <si>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</si>
  <si>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</si>
  <si>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</si>
  <si>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</si>
  <si>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</si>
  <si>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</si>
  <si>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</si>
  <si>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</si>
  <si>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</si>
  <si>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</si>
  <si>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</si>
  <si>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</si>
  <si>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</si>
  <si>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</si>
  <si>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</si>
  <si>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</si>
  <si>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</si>
  <si>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</si>
  <si>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</si>
  <si>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</si>
  <si>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</si>
  <si>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</si>
  <si>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</si>
  <si>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</si>
  <si>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</si>
  <si>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</si>
  <si>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</si>
  <si>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</si>
  <si>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</si>
  <si>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</si>
  <si>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</si>
  <si>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</si>
  <si>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</si>
  <si>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</si>
  <si>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</si>
  <si>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</si>
  <si>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</si>
  <si>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</si>
  <si>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</si>
  <si>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</si>
  <si>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</si>
  <si>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</si>
  <si>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</si>
  <si>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</si>
  <si>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</si>
  <si>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</si>
  <si>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</si>
  <si>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</si>
  <si>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</si>
  <si>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</si>
  <si>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</si>
  <si>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</si>
  <si>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</si>
  <si>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</si>
  <si>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</si>
  <si>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</si>
  <si>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</si>
  <si>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</si>
  <si>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</si>
  <si>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</si>
  <si>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</si>
  <si>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</si>
  <si>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</si>
  <si>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</si>
  <si>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</si>
  <si>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</si>
  <si>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</si>
  <si>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</si>
  <si>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</si>
  <si>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</si>
  <si>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</si>
  <si>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</si>
  <si>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</si>
  <si>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</si>
  <si>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</si>
  <si>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</si>
  <si>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</si>
  <si>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</si>
  <si>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</si>
  <si>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</si>
  <si>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</si>
  <si>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</si>
  <si>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</si>
  <si>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</si>
  <si>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</si>
  <si>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</si>
  <si>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</si>
  <si>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</si>
  <si>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</si>
  <si>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</si>
  <si>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</si>
  <si>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</si>
  <si>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</si>
  <si>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</si>
  <si>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</si>
  <si>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</si>
  <si>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</si>
  <si>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</si>
  <si>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</si>
  <si>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</si>
  <si>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</si>
  <si>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</si>
  <si>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</si>
  <si>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</si>
  <si>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</si>
  <si>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</si>
  <si>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</si>
  <si>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</si>
  <si>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</si>
  <si>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</si>
  <si>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</si>
  <si>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</si>
  <si>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</si>
  <si>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</si>
  <si>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</si>
  <si>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</si>
  <si>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</si>
  <si>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</si>
  <si>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</si>
  <si>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</si>
  <si>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</si>
  <si>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</si>
  <si>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</si>
  <si>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</si>
  <si>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</si>
  <si>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</si>
  <si>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</si>
  <si>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</si>
  <si>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</si>
  <si>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</si>
  <si>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</si>
  <si>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</si>
  <si>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</si>
  <si>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</si>
  <si>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</si>
  <si>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</si>
  <si>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</si>
  <si>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</si>
  <si>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</si>
  <si>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</si>
  <si>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</si>
  <si>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</si>
  <si>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</si>
  <si>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</si>
  <si>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</si>
  <si>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</si>
  <si>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</si>
  <si>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</si>
  <si>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</si>
  <si>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</si>
  <si>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</si>
  <si>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</si>
  <si>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</si>
  <si>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</si>
  <si>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</si>
  <si>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</si>
  <si>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</si>
  <si>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</si>
  <si>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</si>
  <si>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</si>
  <si>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</si>
  <si>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</si>
  <si>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</si>
  <si>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</si>
  <si>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</si>
  <si>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</si>
  <si>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</si>
  <si>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</si>
  <si>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</si>
  <si>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</si>
  <si>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</si>
  <si>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</si>
  <si>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</si>
  <si>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</si>
  <si>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</si>
  <si>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</si>
  <si>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</si>
  <si>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</si>
  <si>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</si>
  <si>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</si>
  <si>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</si>
  <si>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</si>
  <si>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</si>
  <si>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</si>
  <si>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</si>
  <si>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</si>
  <si>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</si>
  <si>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</si>
  <si>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HR ASSIGNMENTS (250 Records)</t>
  </si>
  <si>
    <t>1. Calculate total and average salary.</t>
  </si>
  <si>
    <t>2. Find maximum and minimum salary by department.</t>
  </si>
  <si>
    <t>3. Count number of employees and blank ratings.</t>
  </si>
  <si>
    <t>4. Use IF to classify employees as Eligible / Not Eligible for Bonus.</t>
  </si>
  <si>
    <t>5. Use IF with OR for performance or attendance alerts.</t>
  </si>
  <si>
    <t>6. Use Nested IF to grade employee performance.</t>
  </si>
  <si>
    <t>7. Use COUNTIF to count employees by Department.</t>
  </si>
  <si>
    <t>8. Use AVERAGEIF to calculate average salary per Role.</t>
  </si>
  <si>
    <t>Employee ID</t>
  </si>
  <si>
    <t>Role</t>
  </si>
  <si>
    <t>Salary</t>
  </si>
  <si>
    <t>Attendance Days</t>
  </si>
  <si>
    <t>Rating</t>
  </si>
  <si>
    <t>E0001</t>
  </si>
  <si>
    <t>Analyst</t>
  </si>
  <si>
    <t>E0002</t>
  </si>
  <si>
    <t>E0003</t>
  </si>
  <si>
    <t>Executive</t>
  </si>
  <si>
    <t>E0004</t>
  </si>
  <si>
    <t>Manager</t>
  </si>
  <si>
    <t>E0005</t>
  </si>
  <si>
    <t>Associate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</si>
  <si>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</si>
  <si>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</si>
  <si>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</si>
  <si>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</si>
  <si>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</si>
  <si>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</si>
  <si>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</si>
  <si>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</si>
  <si>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</si>
  <si>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</si>
  <si>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</si>
  <si>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</si>
  <si>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</si>
  <si>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</si>
  <si>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</si>
  <si>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</si>
  <si>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</si>
  <si>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</si>
  <si>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</si>
  <si>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</si>
  <si>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</si>
  <si>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</si>
  <si>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</si>
  <si>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</si>
  <si>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</si>
  <si>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</si>
  <si>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</si>
  <si>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</si>
  <si>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</si>
  <si>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</si>
  <si>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</si>
  <si>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</si>
  <si>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</si>
  <si>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</si>
  <si>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</si>
  <si>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</si>
  <si>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</si>
  <si>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</si>
  <si>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</si>
  <si>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</si>
  <si>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</si>
  <si>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</si>
  <si>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</si>
  <si>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</si>
  <si>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</si>
  <si>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</si>
  <si>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</si>
  <si>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</si>
  <si>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</si>
  <si>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</si>
  <si>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</si>
  <si>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</si>
  <si>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</si>
  <si>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</si>
  <si>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</si>
  <si>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</si>
  <si>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</si>
  <si>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</si>
  <si>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</si>
  <si>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</si>
  <si>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</si>
  <si>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</si>
  <si>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</si>
  <si>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</si>
  <si>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</si>
  <si>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</si>
  <si>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</si>
  <si>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</si>
  <si>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</si>
  <si>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</si>
  <si>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</si>
  <si>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</si>
  <si>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</si>
  <si>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</si>
  <si>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</si>
  <si>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</si>
  <si>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</si>
  <si>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</si>
  <si>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</si>
  <si>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</si>
  <si>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</si>
  <si>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</si>
  <si>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</si>
  <si>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</si>
  <si>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</si>
  <si>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</si>
  <si>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</si>
  <si>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</si>
  <si>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</si>
  <si>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</si>
  <si>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</si>
  <si>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</si>
  <si>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</si>
  <si>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</si>
  <si>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</si>
  <si>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</si>
  <si>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</si>
  <si>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</si>
  <si>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</si>
  <si>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</si>
  <si>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</si>
  <si>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</si>
  <si>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</si>
  <si>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</si>
  <si>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</si>
  <si>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</si>
  <si>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</si>
  <si>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</si>
  <si>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</si>
  <si>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</si>
  <si>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</si>
  <si>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</si>
  <si>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</si>
  <si>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</si>
  <si>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</si>
  <si>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</si>
  <si>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</si>
  <si>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</si>
  <si>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</si>
  <si>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</si>
  <si>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</si>
  <si>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</si>
  <si>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</si>
  <si>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</si>
  <si>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</si>
  <si>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</si>
  <si>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</si>
  <si>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</si>
  <si>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</si>
  <si>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</si>
  <si>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</si>
  <si>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</si>
  <si>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</si>
  <si>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</si>
  <si>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</si>
  <si>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</si>
  <si>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</si>
  <si>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</si>
  <si>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</si>
  <si>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</si>
  <si>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</si>
  <si>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</si>
  <si>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</si>
  <si>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</si>
  <si>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</si>
  <si>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</si>
  <si>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</si>
  <si>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</si>
  <si>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</si>
  <si>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</si>
  <si>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</si>
  <si>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</si>
  <si>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</si>
  <si>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</si>
  <si>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</si>
  <si>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</si>
  <si>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</si>
  <si>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</si>
  <si>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</si>
  <si>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</si>
  <si>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</si>
  <si>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</si>
  <si>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</si>
  <si>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</si>
  <si>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</si>
  <si>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</si>
  <si>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</si>
  <si>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</si>
  <si>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</si>
  <si>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</si>
  <si>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</si>
  <si>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</si>
  <si>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</si>
  <si>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</si>
  <si>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</si>
  <si>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</si>
  <si>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</si>
  <si>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</si>
  <si>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</si>
  <si>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</si>
  <si>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</si>
  <si>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</si>
  <si>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</si>
  <si>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</si>
  <si>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</si>
  <si>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</si>
  <si>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</si>
  <si>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</si>
  <si>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</si>
  <si>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</si>
  <si>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</si>
  <si>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</si>
  <si>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</si>
  <si>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</si>
  <si>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</si>
  <si>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</si>
  <si>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</si>
  <si>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</si>
  <si>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</si>
  <si>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</si>
  <si>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</si>
  <si>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</si>
  <si>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</si>
  <si>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</si>
  <si>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</si>
  <si>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</si>
  <si>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</si>
  <si>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</si>
  <si>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</si>
  <si>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</si>
  <si>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</si>
  <si>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</si>
  <si>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</si>
  <si>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</si>
  <si>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</si>
  <si>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</si>
  <si>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</si>
  <si>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</si>
  <si>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</si>
  <si>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</si>
  <si>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</si>
  <si>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</si>
  <si>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</si>
  <si>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</si>
  <si>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</si>
  <si>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</si>
  <si>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</si>
  <si>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</si>
  <si>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</si>
  <si>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</si>
  <si>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</si>
  <si>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</si>
  <si>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</si>
  <si>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</si>
  <si>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</si>
  <si>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</si>
  <si>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</si>
  <si>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</si>
  <si>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</si>
  <si>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</si>
  <si>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</si>
  <si>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</si>
  <si>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</si>
  <si>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</si>
  <si>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</si>
  <si>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OPERATIONS ASSIGNMENTS (200 Records)</t>
  </si>
  <si>
    <t>Order ID</t>
  </si>
  <si>
    <t>Plant</t>
  </si>
  <si>
    <t>Product</t>
  </si>
  <si>
    <t>Production Qty</t>
  </si>
  <si>
    <t>Downtime (hrs)</t>
  </si>
  <si>
    <t>Defects</t>
  </si>
  <si>
    <t>Delivery Status</t>
  </si>
  <si>
    <t>O0001</t>
  </si>
  <si>
    <t>Plant A</t>
  </si>
  <si>
    <t>Item Z</t>
  </si>
  <si>
    <t>Delayed</t>
  </si>
  <si>
    <t>O0002</t>
  </si>
  <si>
    <t>Plant B</t>
  </si>
  <si>
    <t>On-Time</t>
  </si>
  <si>
    <t>O0003</t>
  </si>
  <si>
    <t>Plant C</t>
  </si>
  <si>
    <t>O0004</t>
  </si>
  <si>
    <t>Item X</t>
  </si>
  <si>
    <t>O0005</t>
  </si>
  <si>
    <t>O0006</t>
  </si>
  <si>
    <t>Item Y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</si>
  <si>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</si>
  <si>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</si>
  <si>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</si>
  <si>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</si>
  <si>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</si>
  <si>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</si>
  <si>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</si>
  <si>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</si>
  <si>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</si>
  <si>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</si>
  <si>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</si>
  <si>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</si>
  <si>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</si>
  <si>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</si>
  <si>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</si>
  <si>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</si>
  <si>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</si>
  <si>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</si>
  <si>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</si>
  <si>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</si>
  <si>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</si>
  <si>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</si>
  <si>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</si>
  <si>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</si>
  <si>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</si>
  <si>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</si>
  <si>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</si>
  <si>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</si>
  <si>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</si>
  <si>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</si>
  <si>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</si>
  <si>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</si>
  <si>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</si>
  <si>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</si>
  <si>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</si>
  <si>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</si>
  <si>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</si>
  <si>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</si>
  <si>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</si>
  <si>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</si>
  <si>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</si>
  <si>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</si>
  <si>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</si>
  <si>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</si>
  <si>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</si>
  <si>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</si>
  <si>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</si>
  <si>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</si>
  <si>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</si>
  <si>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</si>
  <si>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</si>
  <si>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</si>
  <si>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</si>
  <si>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</si>
  <si>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</si>
  <si>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</si>
  <si>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</si>
  <si>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</si>
  <si>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</si>
  <si>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</si>
  <si>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</si>
  <si>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</si>
  <si>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</si>
  <si>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</si>
  <si>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</si>
  <si>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</si>
  <si>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</si>
  <si>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</si>
  <si>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</si>
  <si>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</si>
  <si>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</si>
  <si>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</si>
  <si>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</si>
  <si>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</si>
  <si>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</si>
  <si>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</si>
  <si>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</si>
  <si>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</si>
  <si>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</si>
  <si>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</si>
  <si>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</si>
  <si>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</si>
  <si>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</si>
  <si>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</si>
  <si>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</si>
  <si>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</si>
  <si>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</si>
  <si>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</si>
  <si>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</si>
  <si>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</si>
  <si>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</si>
  <si>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</si>
  <si>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</si>
  <si>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</si>
  <si>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</si>
  <si>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</si>
  <si>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</si>
  <si>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</si>
  <si>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</si>
  <si>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</si>
  <si>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</si>
  <si>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</si>
  <si>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</si>
  <si>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</si>
  <si>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</si>
  <si>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</si>
  <si>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</si>
  <si>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</si>
  <si>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</si>
  <si>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</si>
  <si>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</si>
  <si>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</si>
  <si>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</si>
  <si>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</si>
  <si>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</si>
  <si>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</si>
  <si>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</si>
  <si>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</si>
  <si>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</si>
  <si>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</si>
  <si>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</si>
  <si>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</si>
  <si>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</si>
  <si>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</si>
  <si>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</si>
  <si>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</si>
  <si>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</si>
  <si>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</si>
  <si>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</si>
  <si>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</si>
  <si>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</si>
  <si>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</si>
  <si>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</si>
  <si>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</si>
  <si>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</si>
  <si>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</si>
  <si>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</si>
  <si>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</si>
  <si>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</si>
  <si>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</si>
  <si>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</si>
  <si>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</si>
  <si>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</si>
  <si>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</si>
  <si>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</si>
  <si>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</si>
  <si>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</si>
  <si>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</si>
  <si>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</si>
  <si>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</si>
  <si>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</si>
  <si>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</si>
  <si>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</si>
  <si>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</si>
  <si>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</si>
  <si>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</si>
  <si>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</si>
  <si>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</si>
  <si>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</si>
  <si>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</si>
  <si>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</si>
  <si>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</si>
  <si>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</si>
  <si>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</si>
  <si>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</si>
  <si>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</si>
  <si>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</si>
  <si>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</si>
  <si>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</si>
  <si>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</si>
  <si>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</si>
  <si>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</si>
  <si>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</si>
  <si>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</si>
  <si>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</si>
  <si>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</si>
  <si>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</si>
  <si>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</si>
  <si>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</si>
  <si>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</si>
  <si>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</si>
  <si>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</si>
  <si>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</si>
  <si>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</si>
  <si>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</si>
  <si>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</si>
  <si>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</si>
  <si>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</si>
  <si>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</si>
  <si>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</si>
  <si>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</si>
  <si>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</si>
  <si>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</si>
  <si>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</si>
  <si>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Insert a new page and try to show the below MIS report in the best presentable way</t>
  </si>
  <si>
    <t xml:space="preserve">You check the data and find your own reports. </t>
  </si>
  <si>
    <t>Present the report with what you understand from the data set</t>
  </si>
  <si>
    <t>Total Expences</t>
  </si>
  <si>
    <t>Maximum  Expenses.</t>
  </si>
  <si>
    <t>Average Expenses.</t>
  </si>
  <si>
    <t>Minimum Expenses.</t>
  </si>
  <si>
    <t>Total Expenses.</t>
  </si>
  <si>
    <t xml:space="preserve">Count number of transactions </t>
  </si>
  <si>
    <t>Blank amounts.</t>
  </si>
  <si>
    <t>High</t>
  </si>
  <si>
    <t>&gt;80000</t>
  </si>
  <si>
    <t>&lt;80000 and &gt;40000</t>
  </si>
  <si>
    <t>Medium</t>
  </si>
  <si>
    <t>&lt;40000</t>
  </si>
  <si>
    <t>Low</t>
  </si>
  <si>
    <t>Classification</t>
  </si>
  <si>
    <t>Aproved</t>
  </si>
  <si>
    <t>Risk</t>
  </si>
  <si>
    <t>Count</t>
  </si>
  <si>
    <t>Total Salary</t>
  </si>
  <si>
    <t>Average Salary</t>
  </si>
  <si>
    <t>MAX Salary</t>
  </si>
  <si>
    <t>MIN Salary</t>
  </si>
  <si>
    <t>Count Number of employee</t>
  </si>
  <si>
    <t>Count Bank rating</t>
  </si>
  <si>
    <t>Clasify</t>
  </si>
  <si>
    <t>Alert</t>
  </si>
  <si>
    <t>Grades</t>
  </si>
  <si>
    <t>Total Production</t>
  </si>
  <si>
    <t>Orders</t>
  </si>
  <si>
    <t>Down Time</t>
  </si>
  <si>
    <t>On-time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</si>
</sst>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0" fillId="3" borderId="0" xfId="0" applyFill="1"/>
    <xf numFmtId="0" fontId="1" fillId="2" borderId="1" xfId="0" applyFont="1" applyFill="1" applyBorder="1"/>
    <xf numFmtId="0" fontId="0" fillId="3" borderId="1" xfId="0" applyFill="1" applyBorder="1"/>
    <xf numFmtId="0" fontId="0" fillId="0" borderId="2" xfId="0" applyBorder="1"/>
    <xf numFmtId="0" fontId="1" fillId="4" borderId="1" xfId="0" applyFont="1" applyFill="1" applyBorder="1"/>
    <xf numFmtId="0" fontId="1" fillId="5" borderId="1" xfId="0" applyFont="1" applyFill="1" applyBorder="1"/>
    <xf numFmtId="0" fontId="4" fillId="0" borderId="0" xfId="0" applyFont="1"/>
    <xf numFmtId="166" fontId="4" fillId="0" borderId="0" xfId="1" applyNumberFormat="1" applyFont="1"/>
    <xf numFmtId="0" fontId="4" fillId="0" borderId="0" xfId="0" applyFont="1" applyAlignment="1">
      <alignment horizontal="right"/>
    </xf>
    <xf numFmtId="0" fontId="3" fillId="0" borderId="0" xfId="0" applyFont="1"/>
    <xf numFmtId="0" fontId="1" fillId="2" borderId="0" xfId="0" applyFont="1" applyFill="1" applyBorder="1"/>
    <xf numFmtId="166" fontId="3" fillId="0" borderId="0" xfId="1" applyNumberFormat="1" applyFont="1"/>
    <xf numFmtId="0" fontId="1" fillId="4" borderId="0" xfId="0" applyFont="1" applyFill="1" applyBorder="1"/>
    <xf numFmtId="0" fontId="3" fillId="0" borderId="0" xfId="0" applyFont="1" applyAlignment="1">
      <alignment horizontal="left"/>
    </xf>
    <xf numFmtId="2" fontId="0" fillId="0" borderId="0" xfId="0" applyNumberFormat="1"/>
    <xf numFmtId="2" fontId="3" fillId="0" borderId="0" xfId="0" applyNumberFormat="1" applyFont="1"/>
    <xf numFmtId="0" fontId="0" fillId="0" borderId="0" xfId="0" applyBorder="1"/>
    <xf numFmtId="0" fontId="0" fillId="0" borderId="3" xfId="0" applyBorder="1"/>
    <xf numFmtId="0" fontId="3" fillId="6" borderId="0" xfId="0" applyFont="1" applyFill="1"/>
    <xf numFmtId="9" fontId="3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Plant Wise Total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Operations_Data!$L$3</c:f>
              <c:strCache>
                <c:ptCount val="1"/>
                <c:pt idx="0">
                  <c:v>Total 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Operations_Data!$J$4:$J$6</c:f>
              <c:strCache>
                <c:ptCount val="3"/>
                <c:pt idx="0">
                  <c:v>Plant A</c:v>
                </c:pt>
                <c:pt idx="1">
                  <c:v>Plant B</c:v>
                </c:pt>
                <c:pt idx="2">
                  <c:v>Plant C</c:v>
                </c:pt>
              </c:strCache>
            </c:strRef>
          </c:cat>
          <c:val>
            <c:numRef>
              <c:f>Operations_Data!$L$4:$L$6</c:f>
              <c:numCache>
                <c:formatCode>_ * #,##0_ ;_ * \-#,##0_ ;_ * "-"??_ ;_ @_ </c:formatCode>
                <c:ptCount val="3"/>
                <c:pt idx="0">
                  <c:v>165346</c:v>
                </c:pt>
                <c:pt idx="1">
                  <c:v>153256</c:v>
                </c:pt>
                <c:pt idx="2">
                  <c:v>157128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E-418F-85D0-2856A9FB96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7427359"/>
        <c:axId val="1450313359"/>
      </c:barChart>
      <c:catAx>
        <c:axId val="163742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13359"/>
        <c:crosses val="autoZero"/>
        <c:auto val="1"/>
        <c:lblAlgn val="ctr"/>
        <c:lblOffset val="100"/>
        <c:noMultiLvlLbl val="0"/>
      </c:catAx>
      <c:valAx>
        <c:axId val="145031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2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Total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Operations_Data!$L$24</c:f>
              <c:strCache>
                <c:ptCount val="1"/>
                <c:pt idx="0">
                  <c:v>Total 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Operations_Data!$J$25:$J$27</c:f>
              <c:strCache>
                <c:ptCount val="3"/>
                <c:pt idx="0">
                  <c:v>Item Z</c:v>
                </c:pt>
                <c:pt idx="1">
                  <c:v>Item X</c:v>
                </c:pt>
                <c:pt idx="2">
                  <c:v>Item Y</c:v>
                </c:pt>
              </c:strCache>
            </c:strRef>
          </c:cat>
          <c:val>
            <c:numRef>
              <c:f>Operations_Data!$L$25:$L$27</c:f>
              <c:numCache>
                <c:formatCode>_ * #,##0_ ;_ * \-#,##0_ ;_ * "-"??_ ;_ @_ </c:formatCode>
                <c:ptCount val="3"/>
                <c:pt idx="0">
                  <c:v>141076</c:v>
                </c:pt>
                <c:pt idx="1">
                  <c:v>149862</c:v>
                </c:pt>
                <c:pt idx="2">
                  <c:v>184792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5-4F7E-ACFF-1BDEBAC33E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43003167"/>
        <c:axId val="1450376719"/>
      </c:barChart>
      <c:catAx>
        <c:axId val="164300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76719"/>
        <c:crosses val="autoZero"/>
        <c:auto val="1"/>
        <c:lblAlgn val="ctr"/>
        <c:lblOffset val="100"/>
        <c:noMultiLvlLbl val="0"/>
      </c:catAx>
      <c:valAx>
        <c:axId val="145037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0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373380</xdr:colOff>
      <xdr:row>7</xdr:row>
      <xdr:rowOff>118110</xdr:rowOff>
    </xdr:from>
    <xdr:to>
      <xdr:col>14</xdr:col>
      <xdr:colOff>563880</xdr:colOff>
      <xdr:row>22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BAA2F4-4763-9927-1A83-20AD96072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28</xdr:row>
      <xdr:rowOff>140970</xdr:rowOff>
    </xdr:from>
    <xdr:to>
      <xdr:col>15</xdr:col>
      <xdr:colOff>0</xdr:colOff>
      <xdr:row>43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B07377-9033-02B1-C3E1-170AA762A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5E9360-CBDB-4496-93FE-FFFD5BCC2236}">
  <we:reference id="wa200004935" version="6.0.0.0" store="en-US" storeType="OMEX"/>
  <we:alternateReferences>
    <we:reference id="WA200004935" version="6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13"/>
  <sheetViews>
    <sheetView workbookViewId="0">
      <selection activeCell="A13" sqref="A13"/>
    </sheetView>
  </sheetViews>
  <sheetFormatPr defaultRowHeight="14.4" x14ac:dyDescent="0.3"/>
  <cols>
    <col min="1" max="1" width="120" customWidth="1"/>
  </cols>
  <sheetData>
    <row r="1" spans="1:1" x14ac:dyDescent="0.3">
      <c r="A1" s="2" t="s">
        <v>0</v>
      </c>
    </row>
    <row r="3" spans="1:1" x14ac:dyDescent="0.3">
      <c r="A3" t="s">
        <v>811</v>
      </c>
    </row>
    <row r="5" spans="1:1" x14ac:dyDescent="0.3">
      <c r="A5" t="s">
        <v>1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L301"/>
  <sheetViews>
    <sheetView topLeftCell="H1" zoomScaleNormal="100" workbookViewId="0">
      <selection activeCell="R42" sqref="R42"/>
    </sheetView>
  </sheetViews>
  <sheetFormatPr defaultRowHeight="14.4" x14ac:dyDescent="0.3"/>
  <cols>
    <col min="1" max="6" width="18" customWidth="1"/>
    <col min="7" max="7" width="11.88671875" bestFit="1" customWidth="1"/>
    <col min="8" max="8" width="18.21875" bestFit="1" customWidth="1"/>
    <col min="9" max="9" width="18.21875" customWidth="1"/>
    <col min="10" max="10" width="58.33203125" bestFit="1" customWidth="1"/>
    <col min="11" max="11" width="20.44140625" customWidth="1"/>
  </cols>
  <sheetData>
    <row r="1" spans="1:12" ht="15" thickBot="1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11" t="s">
        <v>827</v>
      </c>
      <c r="H1" s="11" t="s">
        <v>828</v>
      </c>
      <c r="I1" s="11" t="s">
        <v>829</v>
      </c>
    </row>
    <row r="2" spans="1:12" x14ac:dyDescent="0.3">
      <c r="A2" s="3" t="s">
        <v>16</v>
      </c>
      <c r="B2" s="3" t="s">
        <v>17</v>
      </c>
      <c r="C2" s="3" t="s">
        <v>18</v>
      </c>
      <c r="D2" s="3">
        <v>22957</v>
      </c>
      <c r="E2" s="3">
        <v>84862</v>
      </c>
      <c r="F2" s="3" t="s">
        <v>19</v>
      </c>
      <c r="G2" t="str">
        <f>IF(D2&gt;=80000,"High",IF(D2&gt;=40000,"Medium","Low"))</f>
        <v>Low</v>
      </c>
      <c r="H2" t="str">
        <f>IF(AND(D2&gt;=80000,F2="Approved"),"Approved High-Value","Other")</f>
        <v>Other</v>
      </c>
      <c r="I2" t="str">
        <f>IF(D2&gt;=80000,"High Risk",IF(D2&gt;=40000,"Medium Risk","Low Risk"))</f>
        <v>Low Risk</v>
      </c>
    </row>
    <row r="3" spans="1:12" x14ac:dyDescent="0.3">
      <c r="A3" t="s">
        <v>20</v>
      </c>
      <c r="B3" t="s">
        <v>21</v>
      </c>
      <c r="C3" t="s">
        <v>22</v>
      </c>
      <c r="D3">
        <v>117030</v>
      </c>
      <c r="E3">
        <v>57584</v>
      </c>
      <c r="F3" t="s">
        <v>23</v>
      </c>
      <c r="G3" t="str">
        <f t="shared" ref="G3:G66" si="0">IF(D3&gt;=80000,"High",IF(D3&gt;=40000,"Medium","Low"))</f>
        <v>High</v>
      </c>
      <c r="H3" t="str">
        <f t="shared" ref="H3:H66" si="1">IF(AND(D3&gt;=80000,F3="Approved"),"Approved High-Value","Other")</f>
        <v>Approved High-Value</v>
      </c>
      <c r="I3" t="str">
        <f t="shared" ref="I3:I66" si="2">IF(D3&gt;=80000,"High Risk",IF(D3&gt;=40000,"Medium Risk","Low Risk"))</f>
        <v>High Risk</v>
      </c>
    </row>
    <row r="4" spans="1:12" x14ac:dyDescent="0.3">
      <c r="A4" s="1" t="s">
        <v>24</v>
      </c>
      <c r="B4" s="1" t="s">
        <v>25</v>
      </c>
      <c r="C4" s="1" t="s">
        <v>18</v>
      </c>
      <c r="D4" s="1">
        <v>60739</v>
      </c>
      <c r="E4" s="1">
        <v>83691</v>
      </c>
      <c r="F4" s="1" t="s">
        <v>26</v>
      </c>
      <c r="G4" t="str">
        <f t="shared" si="0"/>
        <v>Medium</v>
      </c>
      <c r="H4" t="str">
        <f t="shared" si="1"/>
        <v>Other</v>
      </c>
      <c r="I4" t="str">
        <f t="shared" si="2"/>
        <v>Medium Risk</v>
      </c>
    </row>
    <row r="5" spans="1:12" x14ac:dyDescent="0.3">
      <c r="A5" t="s">
        <v>27</v>
      </c>
      <c r="B5" t="s">
        <v>25</v>
      </c>
      <c r="C5" t="s">
        <v>18</v>
      </c>
      <c r="D5">
        <v>70898</v>
      </c>
      <c r="E5">
        <v>85474</v>
      </c>
      <c r="F5" t="s">
        <v>23</v>
      </c>
      <c r="G5" t="str">
        <f t="shared" si="0"/>
        <v>Medium</v>
      </c>
      <c r="H5" t="str">
        <f t="shared" si="1"/>
        <v>Other</v>
      </c>
      <c r="I5" t="str">
        <f t="shared" si="2"/>
        <v>Medium Risk</v>
      </c>
    </row>
    <row r="6" spans="1:12" ht="15.6" x14ac:dyDescent="0.3">
      <c r="A6" s="1" t="s">
        <v>28</v>
      </c>
      <c r="B6" s="1" t="s">
        <v>25</v>
      </c>
      <c r="C6" s="1" t="s">
        <v>22</v>
      </c>
      <c r="D6" s="1">
        <v>106938</v>
      </c>
      <c r="E6" s="1">
        <v>92932</v>
      </c>
      <c r="F6" s="1" t="s">
        <v>19</v>
      </c>
      <c r="G6" t="str">
        <f t="shared" si="0"/>
        <v>High</v>
      </c>
      <c r="H6" t="str">
        <f t="shared" si="1"/>
        <v>Other</v>
      </c>
      <c r="I6" t="str">
        <f t="shared" si="2"/>
        <v>High Risk</v>
      </c>
      <c r="J6" s="7" t="s">
        <v>2</v>
      </c>
    </row>
    <row r="7" spans="1:12" ht="15.6" x14ac:dyDescent="0.3">
      <c r="A7" t="s">
        <v>29</v>
      </c>
      <c r="B7" t="s">
        <v>21</v>
      </c>
      <c r="C7" t="s">
        <v>30</v>
      </c>
      <c r="D7">
        <v>11125</v>
      </c>
      <c r="E7">
        <v>89154</v>
      </c>
      <c r="F7" t="s">
        <v>19</v>
      </c>
      <c r="G7" t="str">
        <f t="shared" si="0"/>
        <v>Low</v>
      </c>
      <c r="H7" t="str">
        <f t="shared" si="1"/>
        <v>Other</v>
      </c>
      <c r="I7" t="str">
        <f t="shared" si="2"/>
        <v>Low Risk</v>
      </c>
      <c r="J7" s="9" t="s">
        <v>818</v>
      </c>
      <c r="K7" s="8">
        <f>SUM(D2:D301)</f>
        <v>18320671</v>
      </c>
    </row>
    <row r="8" spans="1:12" ht="15.6" x14ac:dyDescent="0.3">
      <c r="A8" s="1" t="s">
        <v>31</v>
      </c>
      <c r="B8" s="1" t="s">
        <v>25</v>
      </c>
      <c r="C8" s="1" t="s">
        <v>18</v>
      </c>
      <c r="D8" s="1">
        <v>17846</v>
      </c>
      <c r="E8" s="1">
        <v>50233</v>
      </c>
      <c r="F8" s="1" t="s">
        <v>19</v>
      </c>
      <c r="G8" t="str">
        <f t="shared" si="0"/>
        <v>Low</v>
      </c>
      <c r="H8" t="str">
        <f t="shared" si="1"/>
        <v>Other</v>
      </c>
      <c r="I8" t="str">
        <f t="shared" si="2"/>
        <v>Low Risk</v>
      </c>
      <c r="J8" s="9" t="s">
        <v>816</v>
      </c>
      <c r="K8" s="8">
        <f>AVERAGE(D2:D301)</f>
        <v>61068.903333333335</v>
      </c>
    </row>
    <row r="9" spans="1:12" ht="15.6" x14ac:dyDescent="0.3">
      <c r="A9" t="s">
        <v>32</v>
      </c>
      <c r="B9" t="s">
        <v>33</v>
      </c>
      <c r="C9" t="s">
        <v>18</v>
      </c>
      <c r="D9">
        <v>41744</v>
      </c>
      <c r="E9">
        <v>91387</v>
      </c>
      <c r="F9" t="s">
        <v>26</v>
      </c>
      <c r="G9" t="str">
        <f t="shared" si="0"/>
        <v>Medium</v>
      </c>
      <c r="H9" t="str">
        <f t="shared" si="1"/>
        <v>Other</v>
      </c>
      <c r="I9" t="str">
        <f t="shared" si="2"/>
        <v>Medium Risk</v>
      </c>
      <c r="J9" s="9" t="s">
        <v>817</v>
      </c>
      <c r="K9" s="7">
        <f>MIN(D2:D301)</f>
        <v>2059</v>
      </c>
    </row>
    <row r="10" spans="1:12" ht="15.6" x14ac:dyDescent="0.3">
      <c r="A10" s="1" t="s">
        <v>34</v>
      </c>
      <c r="B10" s="1" t="s">
        <v>33</v>
      </c>
      <c r="C10" s="1" t="s">
        <v>18</v>
      </c>
      <c r="D10" s="1">
        <v>86746</v>
      </c>
      <c r="E10" s="1">
        <v>84716</v>
      </c>
      <c r="F10" s="1" t="s">
        <v>23</v>
      </c>
      <c r="G10" t="str">
        <f t="shared" si="0"/>
        <v>High</v>
      </c>
      <c r="H10" t="str">
        <f t="shared" si="1"/>
        <v>Approved High-Value</v>
      </c>
      <c r="I10" t="str">
        <f t="shared" si="2"/>
        <v>High Risk</v>
      </c>
      <c r="J10" s="9" t="s">
        <v>815</v>
      </c>
      <c r="K10" s="7">
        <f>MAX(D2:D301)</f>
        <v>119937</v>
      </c>
    </row>
    <row r="11" spans="1:12" x14ac:dyDescent="0.3">
      <c r="A11" t="s">
        <v>35</v>
      </c>
      <c r="B11" t="s">
        <v>25</v>
      </c>
      <c r="C11" t="s">
        <v>18</v>
      </c>
      <c r="D11">
        <v>93532</v>
      </c>
      <c r="E11">
        <v>76563</v>
      </c>
      <c r="F11" t="s">
        <v>23</v>
      </c>
      <c r="G11" t="str">
        <f t="shared" si="0"/>
        <v>High</v>
      </c>
      <c r="H11" t="str">
        <f t="shared" si="1"/>
        <v>Approved High-Value</v>
      </c>
      <c r="I11" t="str">
        <f t="shared" si="2"/>
        <v>High Risk</v>
      </c>
    </row>
    <row r="12" spans="1:12" x14ac:dyDescent="0.3">
      <c r="A12" s="1" t="s">
        <v>36</v>
      </c>
      <c r="B12" s="1" t="s">
        <v>33</v>
      </c>
      <c r="C12" s="1" t="s">
        <v>22</v>
      </c>
      <c r="D12" s="1">
        <v>77990</v>
      </c>
      <c r="E12" s="1">
        <v>88675</v>
      </c>
      <c r="F12" s="1" t="s">
        <v>26</v>
      </c>
      <c r="G12" t="str">
        <f t="shared" si="0"/>
        <v>Medium</v>
      </c>
      <c r="H12" t="str">
        <f t="shared" si="1"/>
        <v>Other</v>
      </c>
      <c r="I12" t="str">
        <f t="shared" si="2"/>
        <v>Medium Risk</v>
      </c>
      <c r="J12" s="10" t="s">
        <v>3</v>
      </c>
    </row>
    <row r="13" spans="1:12" ht="15.6" x14ac:dyDescent="0.3">
      <c r="A13" t="s">
        <v>37</v>
      </c>
      <c r="B13" t="s">
        <v>21</v>
      </c>
      <c r="C13" t="s">
        <v>38</v>
      </c>
      <c r="D13">
        <v>117446</v>
      </c>
      <c r="E13">
        <v>98812</v>
      </c>
      <c r="F13" t="s">
        <v>23</v>
      </c>
      <c r="G13" t="str">
        <f t="shared" si="0"/>
        <v>High</v>
      </c>
      <c r="H13" t="str">
        <f t="shared" si="1"/>
        <v>Approved High-Value</v>
      </c>
      <c r="I13" t="str">
        <f t="shared" si="2"/>
        <v>High Risk</v>
      </c>
      <c r="J13" s="9" t="s">
        <v>819</v>
      </c>
      <c r="K13">
        <f>COUNTA((A2:A301))</f>
        <v>300</v>
      </c>
    </row>
    <row r="14" spans="1:12" ht="15.6" x14ac:dyDescent="0.3">
      <c r="A14" s="1" t="s">
        <v>39</v>
      </c>
      <c r="B14" s="1" t="s">
        <v>25</v>
      </c>
      <c r="C14" s="1" t="s">
        <v>18</v>
      </c>
      <c r="D14" s="1">
        <v>40303</v>
      </c>
      <c r="E14" s="1">
        <v>53629</v>
      </c>
      <c r="F14" s="1" t="s">
        <v>19</v>
      </c>
      <c r="G14" t="str">
        <f t="shared" si="0"/>
        <v>Medium</v>
      </c>
      <c r="H14" t="str">
        <f t="shared" si="1"/>
        <v>Other</v>
      </c>
      <c r="I14" t="str">
        <f t="shared" si="2"/>
        <v>Medium Risk</v>
      </c>
      <c r="J14" s="9" t="s">
        <v>820</v>
      </c>
      <c r="K14">
        <f>COUNTBLANK(D2:D301)</f>
        <v>0</v>
      </c>
    </row>
    <row r="15" spans="1:12" x14ac:dyDescent="0.3">
      <c r="A15" t="s">
        <v>40</v>
      </c>
      <c r="B15" t="s">
        <v>17</v>
      </c>
      <c r="C15" t="s">
        <v>38</v>
      </c>
      <c r="D15">
        <v>66910</v>
      </c>
      <c r="E15">
        <v>94884</v>
      </c>
      <c r="F15" t="s">
        <v>19</v>
      </c>
      <c r="G15" t="str">
        <f t="shared" si="0"/>
        <v>Medium</v>
      </c>
      <c r="H15" t="str">
        <f t="shared" si="1"/>
        <v>Other</v>
      </c>
      <c r="I15" t="str">
        <f t="shared" si="2"/>
        <v>Medium Risk</v>
      </c>
    </row>
    <row r="16" spans="1:12" x14ac:dyDescent="0.3">
      <c r="A16" s="1" t="s">
        <v>41</v>
      </c>
      <c r="B16" s="1" t="s">
        <v>33</v>
      </c>
      <c r="C16" s="1" t="s">
        <v>18</v>
      </c>
      <c r="D16" s="1">
        <v>78395</v>
      </c>
      <c r="E16" s="1">
        <v>84350</v>
      </c>
      <c r="F16" s="1" t="s">
        <v>26</v>
      </c>
      <c r="G16" t="str">
        <f t="shared" si="0"/>
        <v>Medium</v>
      </c>
      <c r="H16" t="str">
        <f t="shared" si="1"/>
        <v>Other</v>
      </c>
      <c r="I16" t="str">
        <f t="shared" si="2"/>
        <v>Medium Risk</v>
      </c>
      <c r="J16" s="10" t="s">
        <v>4</v>
      </c>
      <c r="K16" s="10" t="s">
        <v>822</v>
      </c>
      <c r="L16" s="10" t="s">
        <v>821</v>
      </c>
    </row>
    <row r="17" spans="1:12" x14ac:dyDescent="0.3">
      <c r="A17" t="s">
        <v>42</v>
      </c>
      <c r="B17" t="s">
        <v>25</v>
      </c>
      <c r="C17" t="s">
        <v>22</v>
      </c>
      <c r="D17">
        <v>100062</v>
      </c>
      <c r="E17">
        <v>82215</v>
      </c>
      <c r="F17" t="s">
        <v>23</v>
      </c>
      <c r="G17" t="str">
        <f t="shared" si="0"/>
        <v>High</v>
      </c>
      <c r="H17" t="str">
        <f t="shared" si="1"/>
        <v>Approved High-Value</v>
      </c>
      <c r="I17" t="str">
        <f t="shared" si="2"/>
        <v>High Risk</v>
      </c>
      <c r="K17" s="10" t="s">
        <v>823</v>
      </c>
      <c r="L17" s="10" t="s">
        <v>824</v>
      </c>
    </row>
    <row r="18" spans="1:12" x14ac:dyDescent="0.3">
      <c r="A18" s="1" t="s">
        <v>43</v>
      </c>
      <c r="B18" s="1" t="s">
        <v>21</v>
      </c>
      <c r="C18" s="1" t="s">
        <v>18</v>
      </c>
      <c r="D18" s="1">
        <v>19009</v>
      </c>
      <c r="E18" s="1">
        <v>91251</v>
      </c>
      <c r="F18" s="1" t="s">
        <v>19</v>
      </c>
      <c r="G18" t="str">
        <f t="shared" si="0"/>
        <v>Low</v>
      </c>
      <c r="H18" t="str">
        <f t="shared" si="1"/>
        <v>Other</v>
      </c>
      <c r="I18" t="str">
        <f t="shared" si="2"/>
        <v>Low Risk</v>
      </c>
      <c r="K18" s="10" t="s">
        <v>825</v>
      </c>
      <c r="L18" s="10" t="s">
        <v>826</v>
      </c>
    </row>
    <row r="19" spans="1:12" x14ac:dyDescent="0.3">
      <c r="A19" t="s">
        <v>44</v>
      </c>
      <c r="B19" t="s">
        <v>21</v>
      </c>
      <c r="C19" t="s">
        <v>38</v>
      </c>
      <c r="D19">
        <v>79759</v>
      </c>
      <c r="E19">
        <v>55641</v>
      </c>
      <c r="F19" t="s">
        <v>23</v>
      </c>
      <c r="G19" t="str">
        <f t="shared" si="0"/>
        <v>Medium</v>
      </c>
      <c r="H19" t="str">
        <f t="shared" si="1"/>
        <v>Other</v>
      </c>
      <c r="I19" t="str">
        <f t="shared" si="2"/>
        <v>Medium Risk</v>
      </c>
      <c r="J19" t="s">
        <v>5</v>
      </c>
      <c r="K19" s="11" t="s">
        <v>828</v>
      </c>
    </row>
    <row r="20" spans="1:12" x14ac:dyDescent="0.3">
      <c r="A20" s="1" t="s">
        <v>45</v>
      </c>
      <c r="B20" s="1" t="s">
        <v>17</v>
      </c>
      <c r="C20" s="1" t="s">
        <v>18</v>
      </c>
      <c r="D20" s="1">
        <v>33982</v>
      </c>
      <c r="E20" s="1">
        <v>84791</v>
      </c>
      <c r="F20" s="1" t="s">
        <v>23</v>
      </c>
      <c r="G20" t="str">
        <f t="shared" si="0"/>
        <v>Low</v>
      </c>
      <c r="H20" t="str">
        <f t="shared" si="1"/>
        <v>Other</v>
      </c>
      <c r="I20" t="str">
        <f t="shared" si="2"/>
        <v>Low Risk</v>
      </c>
      <c r="J20" t="s">
        <v>6</v>
      </c>
      <c r="K20" s="11" t="s">
        <v>829</v>
      </c>
    </row>
    <row r="21" spans="1:12" x14ac:dyDescent="0.3">
      <c r="A21" t="s">
        <v>46</v>
      </c>
      <c r="B21" t="s">
        <v>33</v>
      </c>
      <c r="C21" t="s">
        <v>30</v>
      </c>
      <c r="D21">
        <v>118481</v>
      </c>
      <c r="E21">
        <v>69644</v>
      </c>
      <c r="F21" t="s">
        <v>26</v>
      </c>
      <c r="G21" t="str">
        <f t="shared" si="0"/>
        <v>High</v>
      </c>
      <c r="H21" t="str">
        <f t="shared" si="1"/>
        <v>Other</v>
      </c>
      <c r="I21" t="str">
        <f t="shared" si="2"/>
        <v>High Risk</v>
      </c>
      <c r="J21" s="10" t="s">
        <v>7</v>
      </c>
      <c r="K21" s="10"/>
    </row>
    <row r="22" spans="1:12" x14ac:dyDescent="0.3">
      <c r="A22" s="1" t="s">
        <v>47</v>
      </c>
      <c r="B22" s="1" t="s">
        <v>33</v>
      </c>
      <c r="C22" s="1" t="s">
        <v>22</v>
      </c>
      <c r="D22" s="1">
        <v>52519</v>
      </c>
      <c r="E22" s="1">
        <v>70109</v>
      </c>
      <c r="F22" s="1" t="s">
        <v>26</v>
      </c>
      <c r="G22" t="str">
        <f t="shared" si="0"/>
        <v>Medium</v>
      </c>
      <c r="H22" t="str">
        <f t="shared" si="1"/>
        <v>Other</v>
      </c>
      <c r="I22" t="str">
        <f t="shared" si="2"/>
        <v>Medium Risk</v>
      </c>
      <c r="J22" s="14" t="s">
        <v>11</v>
      </c>
      <c r="K22" s="10" t="s">
        <v>814</v>
      </c>
    </row>
    <row r="23" spans="1:12" x14ac:dyDescent="0.3">
      <c r="A23" t="s">
        <v>48</v>
      </c>
      <c r="B23" t="s">
        <v>17</v>
      </c>
      <c r="C23" t="s">
        <v>38</v>
      </c>
      <c r="D23">
        <v>40069</v>
      </c>
      <c r="E23">
        <v>89435</v>
      </c>
      <c r="F23" t="s">
        <v>23</v>
      </c>
      <c r="G23" t="str">
        <f t="shared" si="0"/>
        <v>Medium</v>
      </c>
      <c r="H23" t="str">
        <f t="shared" si="1"/>
        <v>Other</v>
      </c>
      <c r="I23" t="str">
        <f t="shared" si="2"/>
        <v>Medium Risk</v>
      </c>
      <c r="J23" s="14" t="str" cm="1">
        <f t="array" ref="J23:J26">_xlfn.UNIQUE(B2:B301)</f>
        <v>HR</v>
      </c>
      <c r="K23" s="12">
        <f>SUMIF(B2:B301,J23,D2:D301)</f>
        <v>3888097</v>
      </c>
    </row>
    <row r="24" spans="1:12" x14ac:dyDescent="0.3">
      <c r="A24" s="1" t="s">
        <v>49</v>
      </c>
      <c r="B24" s="1" t="s">
        <v>33</v>
      </c>
      <c r="C24" s="1" t="s">
        <v>38</v>
      </c>
      <c r="D24" s="1">
        <v>73386</v>
      </c>
      <c r="E24" s="1">
        <v>95451</v>
      </c>
      <c r="F24" s="1" t="s">
        <v>23</v>
      </c>
      <c r="G24" t="str">
        <f t="shared" si="0"/>
        <v>Medium</v>
      </c>
      <c r="H24" t="str">
        <f t="shared" si="1"/>
        <v>Other</v>
      </c>
      <c r="I24" t="str">
        <f t="shared" si="2"/>
        <v>Medium Risk</v>
      </c>
      <c r="J24" s="14" t="str">
        <v>IT</v>
      </c>
      <c r="K24" s="12">
        <f>SUMIF(B2:B301,J24,D2:D301)</f>
        <v>4031396</v>
      </c>
    </row>
    <row r="25" spans="1:12" x14ac:dyDescent="0.3">
      <c r="A25" t="s">
        <v>50</v>
      </c>
      <c r="B25" t="s">
        <v>33</v>
      </c>
      <c r="C25" t="s">
        <v>38</v>
      </c>
      <c r="D25">
        <v>103505</v>
      </c>
      <c r="E25">
        <v>85093</v>
      </c>
      <c r="F25" t="s">
        <v>26</v>
      </c>
      <c r="G25" t="str">
        <f t="shared" si="0"/>
        <v>High</v>
      </c>
      <c r="H25" t="str">
        <f t="shared" si="1"/>
        <v>Other</v>
      </c>
      <c r="I25" t="str">
        <f t="shared" si="2"/>
        <v>High Risk</v>
      </c>
      <c r="J25" s="14" t="str">
        <v>Finance</v>
      </c>
      <c r="K25" s="12">
        <f>SUMIF(B2:B301,J25,D2:D301)</f>
        <v>4440323</v>
      </c>
    </row>
    <row r="26" spans="1:12" x14ac:dyDescent="0.3">
      <c r="A26" s="1" t="s">
        <v>51</v>
      </c>
      <c r="B26" s="1" t="s">
        <v>25</v>
      </c>
      <c r="C26" s="1" t="s">
        <v>38</v>
      </c>
      <c r="D26" s="1">
        <v>90774</v>
      </c>
      <c r="E26" s="1">
        <v>50239</v>
      </c>
      <c r="F26" s="1" t="s">
        <v>19</v>
      </c>
      <c r="G26" t="str">
        <f t="shared" si="0"/>
        <v>High</v>
      </c>
      <c r="H26" t="str">
        <f t="shared" si="1"/>
        <v>Other</v>
      </c>
      <c r="I26" t="str">
        <f t="shared" si="2"/>
        <v>High Risk</v>
      </c>
      <c r="J26" s="14" t="str">
        <v>Operations</v>
      </c>
      <c r="K26" s="12">
        <f>SUMIF(B2:B301,J26,D2:D301)</f>
        <v>5960855</v>
      </c>
    </row>
    <row r="27" spans="1:12" x14ac:dyDescent="0.3">
      <c r="A27" t="s">
        <v>52</v>
      </c>
      <c r="B27" t="s">
        <v>33</v>
      </c>
      <c r="C27" t="s">
        <v>30</v>
      </c>
      <c r="D27">
        <v>57424</v>
      </c>
      <c r="E27">
        <v>54987</v>
      </c>
      <c r="F27" t="s">
        <v>23</v>
      </c>
      <c r="G27" t="str">
        <f t="shared" si="0"/>
        <v>Medium</v>
      </c>
      <c r="H27" t="str">
        <f t="shared" si="1"/>
        <v>Other</v>
      </c>
      <c r="I27" t="str">
        <f t="shared" si="2"/>
        <v>Medium Risk</v>
      </c>
    </row>
    <row r="28" spans="1:12" x14ac:dyDescent="0.3">
      <c r="A28" s="1" t="s">
        <v>53</v>
      </c>
      <c r="B28" s="1" t="s">
        <v>33</v>
      </c>
      <c r="C28" s="1" t="s">
        <v>38</v>
      </c>
      <c r="D28" s="1">
        <v>80175</v>
      </c>
      <c r="E28" s="1">
        <v>60243</v>
      </c>
      <c r="F28" s="1" t="s">
        <v>19</v>
      </c>
      <c r="G28" t="str">
        <f t="shared" si="0"/>
        <v>High</v>
      </c>
      <c r="H28" t="str">
        <f t="shared" si="1"/>
        <v>Other</v>
      </c>
      <c r="I28" t="str">
        <f t="shared" si="2"/>
        <v>High Risk</v>
      </c>
      <c r="J28" s="10" t="s">
        <v>8</v>
      </c>
    </row>
    <row r="29" spans="1:12" x14ac:dyDescent="0.3">
      <c r="A29" t="s">
        <v>54</v>
      </c>
      <c r="B29" t="s">
        <v>17</v>
      </c>
      <c r="C29" t="s">
        <v>30</v>
      </c>
      <c r="D29">
        <v>24062</v>
      </c>
      <c r="E29">
        <v>62992</v>
      </c>
      <c r="F29" t="s">
        <v>23</v>
      </c>
      <c r="G29" t="str">
        <f t="shared" si="0"/>
        <v>Low</v>
      </c>
      <c r="H29" t="str">
        <f t="shared" si="1"/>
        <v>Other</v>
      </c>
      <c r="I29" t="str">
        <f t="shared" si="2"/>
        <v>Low Risk</v>
      </c>
      <c r="J29" s="14" t="s">
        <v>11</v>
      </c>
      <c r="K29" s="10" t="s">
        <v>830</v>
      </c>
    </row>
    <row r="30" spans="1:12" x14ac:dyDescent="0.3">
      <c r="A30" s="1" t="s">
        <v>55</v>
      </c>
      <c r="B30" s="1" t="s">
        <v>17</v>
      </c>
      <c r="C30" s="1" t="s">
        <v>18</v>
      </c>
      <c r="D30" s="1">
        <v>91266</v>
      </c>
      <c r="E30" s="1">
        <v>83634</v>
      </c>
      <c r="F30" s="1" t="s">
        <v>19</v>
      </c>
      <c r="G30" t="str">
        <f t="shared" si="0"/>
        <v>High</v>
      </c>
      <c r="H30" t="str">
        <f t="shared" si="1"/>
        <v>Other</v>
      </c>
      <c r="I30" t="str">
        <f t="shared" si="2"/>
        <v>High Risk</v>
      </c>
      <c r="J30" s="14" t="str" cm="1">
        <f t="array" ref="J30:J34">_xlfn.UNIQUE(B9:B308)</f>
        <v>Operations</v>
      </c>
      <c r="K30" s="12">
        <f>COUNTIF(B2:B301,J30)</f>
        <v>88</v>
      </c>
    </row>
    <row r="31" spans="1:12" x14ac:dyDescent="0.3">
      <c r="A31" t="s">
        <v>56</v>
      </c>
      <c r="B31" t="s">
        <v>21</v>
      </c>
      <c r="C31" t="s">
        <v>22</v>
      </c>
      <c r="D31">
        <v>74905</v>
      </c>
      <c r="E31">
        <v>87209</v>
      </c>
      <c r="F31" t="s">
        <v>26</v>
      </c>
      <c r="G31" t="str">
        <f t="shared" si="0"/>
        <v>Medium</v>
      </c>
      <c r="H31" t="str">
        <f t="shared" si="1"/>
        <v>Other</v>
      </c>
      <c r="I31" t="str">
        <f t="shared" si="2"/>
        <v>Medium Risk</v>
      </c>
      <c r="J31" s="14" t="str">
        <v>Finance</v>
      </c>
      <c r="K31" s="12">
        <f>COUNTIF(B2:B302,J31)</f>
        <v>71</v>
      </c>
    </row>
    <row r="32" spans="1:12" x14ac:dyDescent="0.3">
      <c r="A32" s="1" t="s">
        <v>57</v>
      </c>
      <c r="B32" s="1" t="s">
        <v>33</v>
      </c>
      <c r="C32" s="1" t="s">
        <v>18</v>
      </c>
      <c r="D32" s="1">
        <v>101904</v>
      </c>
      <c r="E32" s="1">
        <v>97894</v>
      </c>
      <c r="F32" s="1" t="s">
        <v>23</v>
      </c>
      <c r="G32" t="str">
        <f t="shared" si="0"/>
        <v>High</v>
      </c>
      <c r="H32" t="str">
        <f t="shared" si="1"/>
        <v>Approved High-Value</v>
      </c>
      <c r="I32" t="str">
        <f t="shared" si="2"/>
        <v>High Risk</v>
      </c>
      <c r="J32" s="14" t="str">
        <v>IT</v>
      </c>
      <c r="K32" s="12">
        <f>COUNTIF(B2:B303,J32)</f>
        <v>74</v>
      </c>
    </row>
    <row r="33" spans="1:11" x14ac:dyDescent="0.3">
      <c r="A33" t="s">
        <v>58</v>
      </c>
      <c r="B33" t="s">
        <v>17</v>
      </c>
      <c r="C33" t="s">
        <v>30</v>
      </c>
      <c r="D33">
        <v>85869</v>
      </c>
      <c r="E33">
        <v>55841</v>
      </c>
      <c r="F33" t="s">
        <v>19</v>
      </c>
      <c r="G33" t="str">
        <f t="shared" si="0"/>
        <v>High</v>
      </c>
      <c r="H33" t="str">
        <f t="shared" si="1"/>
        <v>Other</v>
      </c>
      <c r="I33" t="str">
        <f t="shared" si="2"/>
        <v>High Risk</v>
      </c>
      <c r="J33" s="14" t="str">
        <v>HR</v>
      </c>
      <c r="K33" s="12">
        <f>COUNTIF(B2:B304,J33)</f>
        <v>67</v>
      </c>
    </row>
    <row r="34" spans="1:11" x14ac:dyDescent="0.3">
      <c r="A34" s="1" t="s">
        <v>59</v>
      </c>
      <c r="B34" s="1" t="s">
        <v>33</v>
      </c>
      <c r="C34" s="1" t="s">
        <v>22</v>
      </c>
      <c r="D34" s="1">
        <v>26484</v>
      </c>
      <c r="E34" s="1">
        <v>66602</v>
      </c>
      <c r="F34" s="1" t="s">
        <v>19</v>
      </c>
      <c r="G34" t="str">
        <f t="shared" si="0"/>
        <v>Low</v>
      </c>
      <c r="H34" t="str">
        <f t="shared" si="1"/>
        <v>Other</v>
      </c>
      <c r="I34" t="str">
        <f t="shared" si="2"/>
        <v>Low Risk</v>
      </c>
      <c r="J34">
        <v>0</v>
      </c>
    </row>
    <row r="35" spans="1:11" x14ac:dyDescent="0.3">
      <c r="A35" t="s">
        <v>60</v>
      </c>
      <c r="B35" t="s">
        <v>33</v>
      </c>
      <c r="C35" t="s">
        <v>22</v>
      </c>
      <c r="D35">
        <v>30273</v>
      </c>
      <c r="E35">
        <v>55213</v>
      </c>
      <c r="F35" t="s">
        <v>19</v>
      </c>
      <c r="G35" t="str">
        <f t="shared" si="0"/>
        <v>Low</v>
      </c>
      <c r="H35" t="str">
        <f t="shared" si="1"/>
        <v>Other</v>
      </c>
      <c r="I35" t="str">
        <f t="shared" si="2"/>
        <v>Low Risk</v>
      </c>
    </row>
    <row r="36" spans="1:11" x14ac:dyDescent="0.3">
      <c r="A36" s="1" t="s">
        <v>61</v>
      </c>
      <c r="B36" s="1" t="s">
        <v>17</v>
      </c>
      <c r="C36" s="1" t="s">
        <v>38</v>
      </c>
      <c r="D36" s="1">
        <v>109124</v>
      </c>
      <c r="E36" s="1">
        <v>50643</v>
      </c>
      <c r="F36" s="1" t="s">
        <v>23</v>
      </c>
      <c r="G36" t="str">
        <f t="shared" si="0"/>
        <v>High</v>
      </c>
      <c r="H36" t="str">
        <f t="shared" si="1"/>
        <v>Approved High-Value</v>
      </c>
      <c r="I36" t="str">
        <f t="shared" si="2"/>
        <v>High Risk</v>
      </c>
      <c r="J36" s="10" t="s">
        <v>9</v>
      </c>
    </row>
    <row r="37" spans="1:11" x14ac:dyDescent="0.3">
      <c r="A37" t="s">
        <v>62</v>
      </c>
      <c r="B37" t="s">
        <v>21</v>
      </c>
      <c r="C37" t="s">
        <v>18</v>
      </c>
      <c r="D37">
        <v>13614</v>
      </c>
      <c r="E37">
        <v>90640</v>
      </c>
      <c r="F37" t="s">
        <v>19</v>
      </c>
      <c r="G37" t="str">
        <f t="shared" si="0"/>
        <v>Low</v>
      </c>
      <c r="H37" t="str">
        <f t="shared" si="1"/>
        <v>Other</v>
      </c>
      <c r="I37" t="str">
        <f t="shared" si="2"/>
        <v>Low Risk</v>
      </c>
      <c r="J37" s="14" t="s">
        <v>11</v>
      </c>
      <c r="K37" s="10" t="s">
        <v>814</v>
      </c>
    </row>
    <row r="38" spans="1:11" x14ac:dyDescent="0.3">
      <c r="A38" s="1" t="s">
        <v>63</v>
      </c>
      <c r="B38" s="1" t="s">
        <v>33</v>
      </c>
      <c r="C38" s="1" t="s">
        <v>30</v>
      </c>
      <c r="D38" s="1">
        <v>55649</v>
      </c>
      <c r="E38" s="1">
        <v>76872</v>
      </c>
      <c r="F38" s="1" t="s">
        <v>23</v>
      </c>
      <c r="G38" t="str">
        <f t="shared" si="0"/>
        <v>Medium</v>
      </c>
      <c r="H38" t="str">
        <f t="shared" si="1"/>
        <v>Other</v>
      </c>
      <c r="I38" t="str">
        <f t="shared" si="2"/>
        <v>Medium Risk</v>
      </c>
      <c r="J38" s="14" t="str" cm="1">
        <f t="array" ref="J38:J42">_xlfn.UNIQUE(B17:B316)</f>
        <v>Finance</v>
      </c>
      <c r="K38" s="12">
        <f>AVERAGEIF(B2:B301,J38,D2:D301)</f>
        <v>62539.760563380281</v>
      </c>
    </row>
    <row r="39" spans="1:11" x14ac:dyDescent="0.3">
      <c r="A39" t="s">
        <v>64</v>
      </c>
      <c r="B39" t="s">
        <v>25</v>
      </c>
      <c r="C39" t="s">
        <v>22</v>
      </c>
      <c r="D39">
        <v>20024</v>
      </c>
      <c r="E39">
        <v>66640</v>
      </c>
      <c r="F39" t="s">
        <v>26</v>
      </c>
      <c r="G39" t="str">
        <f t="shared" si="0"/>
        <v>Low</v>
      </c>
      <c r="H39" t="str">
        <f t="shared" si="1"/>
        <v>Other</v>
      </c>
      <c r="I39" t="str">
        <f t="shared" si="2"/>
        <v>Low Risk</v>
      </c>
      <c r="J39" s="14" t="str">
        <v>IT</v>
      </c>
      <c r="K39" s="12">
        <f>AVERAGEIF(B2:B301,J39,D2:D301)</f>
        <v>54478.324324324327</v>
      </c>
    </row>
    <row r="40" spans="1:11" x14ac:dyDescent="0.3">
      <c r="A40" s="1" t="s">
        <v>65</v>
      </c>
      <c r="B40" s="1" t="s">
        <v>21</v>
      </c>
      <c r="C40" s="1" t="s">
        <v>30</v>
      </c>
      <c r="D40" s="1">
        <v>58433</v>
      </c>
      <c r="E40" s="1">
        <v>50280</v>
      </c>
      <c r="F40" s="1" t="s">
        <v>23</v>
      </c>
      <c r="G40" t="str">
        <f t="shared" si="0"/>
        <v>Medium</v>
      </c>
      <c r="H40" t="str">
        <f t="shared" si="1"/>
        <v>Other</v>
      </c>
      <c r="I40" t="str">
        <f t="shared" si="2"/>
        <v>Medium Risk</v>
      </c>
      <c r="J40" s="14" t="str">
        <v>HR</v>
      </c>
      <c r="K40" s="12">
        <f>AVERAGEIF(B2:B301,J40,D2:D301)</f>
        <v>58031.298507462685</v>
      </c>
    </row>
    <row r="41" spans="1:11" x14ac:dyDescent="0.3">
      <c r="A41" t="s">
        <v>66</v>
      </c>
      <c r="B41" t="s">
        <v>21</v>
      </c>
      <c r="C41" t="s">
        <v>22</v>
      </c>
      <c r="D41">
        <v>66130</v>
      </c>
      <c r="E41">
        <v>51908</v>
      </c>
      <c r="F41" t="s">
        <v>23</v>
      </c>
      <c r="G41" t="str">
        <f t="shared" si="0"/>
        <v>Medium</v>
      </c>
      <c r="H41" t="str">
        <f t="shared" si="1"/>
        <v>Other</v>
      </c>
      <c r="I41" t="str">
        <f t="shared" si="2"/>
        <v>Medium Risk</v>
      </c>
      <c r="J41" s="14" t="str">
        <v>Operations</v>
      </c>
      <c r="K41" s="12">
        <f>AVERAGEIF(B2:B301,J41,D2:D301)</f>
        <v>67736.988636363632</v>
      </c>
    </row>
    <row r="42" spans="1:11" x14ac:dyDescent="0.3">
      <c r="A42" s="1" t="s">
        <v>67</v>
      </c>
      <c r="B42" s="1" t="s">
        <v>21</v>
      </c>
      <c r="C42" s="1" t="s">
        <v>30</v>
      </c>
      <c r="D42" s="1">
        <v>36136</v>
      </c>
      <c r="E42" s="1">
        <v>71483</v>
      </c>
      <c r="F42" s="1" t="s">
        <v>26</v>
      </c>
      <c r="G42" t="str">
        <f t="shared" si="0"/>
        <v>Low</v>
      </c>
      <c r="H42" t="str">
        <f t="shared" si="1"/>
        <v>Other</v>
      </c>
      <c r="I42" t="str">
        <f t="shared" si="2"/>
        <v>Low Risk</v>
      </c>
      <c r="J42">
        <v>0</v>
      </c>
    </row>
    <row r="43" spans="1:11" x14ac:dyDescent="0.3">
      <c r="A43" t="s">
        <v>68</v>
      </c>
      <c r="B43" t="s">
        <v>17</v>
      </c>
      <c r="C43" t="s">
        <v>30</v>
      </c>
      <c r="D43">
        <v>6848</v>
      </c>
      <c r="E43">
        <v>76262</v>
      </c>
      <c r="F43" t="s">
        <v>23</v>
      </c>
      <c r="G43" t="str">
        <f t="shared" si="0"/>
        <v>Low</v>
      </c>
      <c r="H43" t="str">
        <f t="shared" si="1"/>
        <v>Other</v>
      </c>
      <c r="I43" t="str">
        <f t="shared" si="2"/>
        <v>Low Risk</v>
      </c>
    </row>
    <row r="44" spans="1:11" x14ac:dyDescent="0.3">
      <c r="A44" s="1" t="s">
        <v>69</v>
      </c>
      <c r="B44" s="1" t="s">
        <v>33</v>
      </c>
      <c r="C44" s="1" t="s">
        <v>22</v>
      </c>
      <c r="D44" s="1">
        <v>73808</v>
      </c>
      <c r="E44" s="1">
        <v>93278</v>
      </c>
      <c r="F44" s="1" t="s">
        <v>23</v>
      </c>
      <c r="G44" t="str">
        <f t="shared" si="0"/>
        <v>Medium</v>
      </c>
      <c r="H44" t="str">
        <f t="shared" si="1"/>
        <v>Other</v>
      </c>
      <c r="I44" t="str">
        <f t="shared" si="2"/>
        <v>Medium Risk</v>
      </c>
    </row>
    <row r="45" spans="1:11" x14ac:dyDescent="0.3">
      <c r="A45" t="s">
        <v>70</v>
      </c>
      <c r="B45" t="s">
        <v>33</v>
      </c>
      <c r="C45" t="s">
        <v>18</v>
      </c>
      <c r="D45">
        <v>75856</v>
      </c>
      <c r="E45">
        <v>91063</v>
      </c>
      <c r="F45" t="s">
        <v>26</v>
      </c>
      <c r="G45" t="str">
        <f t="shared" si="0"/>
        <v>Medium</v>
      </c>
      <c r="H45" t="str">
        <f t="shared" si="1"/>
        <v>Other</v>
      </c>
      <c r="I45" t="str">
        <f t="shared" si="2"/>
        <v>Medium Risk</v>
      </c>
    </row>
    <row r="46" spans="1:11" x14ac:dyDescent="0.3">
      <c r="A46" s="1" t="s">
        <v>71</v>
      </c>
      <c r="B46" s="1" t="s">
        <v>21</v>
      </c>
      <c r="C46" s="1" t="s">
        <v>30</v>
      </c>
      <c r="D46" s="1">
        <v>108960</v>
      </c>
      <c r="E46" s="1">
        <v>81708</v>
      </c>
      <c r="F46" s="1" t="s">
        <v>23</v>
      </c>
      <c r="G46" t="str">
        <f t="shared" si="0"/>
        <v>High</v>
      </c>
      <c r="H46" t="str">
        <f t="shared" si="1"/>
        <v>Approved High-Value</v>
      </c>
      <c r="I46" t="str">
        <f t="shared" si="2"/>
        <v>High Risk</v>
      </c>
    </row>
    <row r="47" spans="1:11" x14ac:dyDescent="0.3">
      <c r="A47" t="s">
        <v>72</v>
      </c>
      <c r="B47" t="s">
        <v>17</v>
      </c>
      <c r="C47" t="s">
        <v>30</v>
      </c>
      <c r="D47">
        <v>61206</v>
      </c>
      <c r="E47">
        <v>87629</v>
      </c>
      <c r="F47" t="s">
        <v>23</v>
      </c>
      <c r="G47" t="str">
        <f t="shared" si="0"/>
        <v>Medium</v>
      </c>
      <c r="H47" t="str">
        <f t="shared" si="1"/>
        <v>Other</v>
      </c>
      <c r="I47" t="str">
        <f t="shared" si="2"/>
        <v>Medium Risk</v>
      </c>
    </row>
    <row r="48" spans="1:11" x14ac:dyDescent="0.3">
      <c r="A48" s="1" t="s">
        <v>73</v>
      </c>
      <c r="B48" s="1" t="s">
        <v>21</v>
      </c>
      <c r="C48" s="1" t="s">
        <v>30</v>
      </c>
      <c r="D48" s="1">
        <v>5949</v>
      </c>
      <c r="E48" s="1">
        <v>65413</v>
      </c>
      <c r="F48" s="1" t="s">
        <v>26</v>
      </c>
      <c r="G48" t="str">
        <f t="shared" si="0"/>
        <v>Low</v>
      </c>
      <c r="H48" t="str">
        <f t="shared" si="1"/>
        <v>Other</v>
      </c>
      <c r="I48" t="str">
        <f t="shared" si="2"/>
        <v>Low Risk</v>
      </c>
    </row>
    <row r="49" spans="1:9" x14ac:dyDescent="0.3">
      <c r="A49" t="s">
        <v>74</v>
      </c>
      <c r="B49" t="s">
        <v>21</v>
      </c>
      <c r="C49" t="s">
        <v>30</v>
      </c>
      <c r="D49">
        <v>82943</v>
      </c>
      <c r="E49">
        <v>55302</v>
      </c>
      <c r="F49" t="s">
        <v>23</v>
      </c>
      <c r="G49" t="str">
        <f t="shared" si="0"/>
        <v>High</v>
      </c>
      <c r="H49" t="str">
        <f t="shared" si="1"/>
        <v>Approved High-Value</v>
      </c>
      <c r="I49" t="str">
        <f t="shared" si="2"/>
        <v>High Risk</v>
      </c>
    </row>
    <row r="50" spans="1:9" x14ac:dyDescent="0.3">
      <c r="A50" s="1" t="s">
        <v>75</v>
      </c>
      <c r="B50" s="1" t="s">
        <v>21</v>
      </c>
      <c r="C50" s="1" t="s">
        <v>38</v>
      </c>
      <c r="D50" s="1">
        <v>57083</v>
      </c>
      <c r="E50" s="1">
        <v>85807</v>
      </c>
      <c r="F50" s="1" t="s">
        <v>26</v>
      </c>
      <c r="G50" t="str">
        <f t="shared" si="0"/>
        <v>Medium</v>
      </c>
      <c r="H50" t="str">
        <f t="shared" si="1"/>
        <v>Other</v>
      </c>
      <c r="I50" t="str">
        <f t="shared" si="2"/>
        <v>Medium Risk</v>
      </c>
    </row>
    <row r="51" spans="1:9" x14ac:dyDescent="0.3">
      <c r="A51" t="s">
        <v>76</v>
      </c>
      <c r="B51" t="s">
        <v>25</v>
      </c>
      <c r="C51" t="s">
        <v>30</v>
      </c>
      <c r="D51">
        <v>13473</v>
      </c>
      <c r="E51">
        <v>96456</v>
      </c>
      <c r="F51" t="s">
        <v>23</v>
      </c>
      <c r="G51" t="str">
        <f t="shared" si="0"/>
        <v>Low</v>
      </c>
      <c r="H51" t="str">
        <f t="shared" si="1"/>
        <v>Other</v>
      </c>
      <c r="I51" t="str">
        <f t="shared" si="2"/>
        <v>Low Risk</v>
      </c>
    </row>
    <row r="52" spans="1:9" x14ac:dyDescent="0.3">
      <c r="A52" s="1" t="s">
        <v>77</v>
      </c>
      <c r="B52" s="1" t="s">
        <v>25</v>
      </c>
      <c r="C52" s="1" t="s">
        <v>18</v>
      </c>
      <c r="D52" s="1">
        <v>106581</v>
      </c>
      <c r="E52" s="1">
        <v>87580</v>
      </c>
      <c r="F52" s="1" t="s">
        <v>19</v>
      </c>
      <c r="G52" t="str">
        <f t="shared" si="0"/>
        <v>High</v>
      </c>
      <c r="H52" t="str">
        <f t="shared" si="1"/>
        <v>Other</v>
      </c>
      <c r="I52" t="str">
        <f t="shared" si="2"/>
        <v>High Risk</v>
      </c>
    </row>
    <row r="53" spans="1:9" x14ac:dyDescent="0.3">
      <c r="A53" t="s">
        <v>78</v>
      </c>
      <c r="B53" t="s">
        <v>17</v>
      </c>
      <c r="C53" t="s">
        <v>30</v>
      </c>
      <c r="D53">
        <v>21823</v>
      </c>
      <c r="E53">
        <v>71840</v>
      </c>
      <c r="F53" t="s">
        <v>19</v>
      </c>
      <c r="G53" t="str">
        <f t="shared" si="0"/>
        <v>Low</v>
      </c>
      <c r="H53" t="str">
        <f t="shared" si="1"/>
        <v>Other</v>
      </c>
      <c r="I53" t="str">
        <f t="shared" si="2"/>
        <v>Low Risk</v>
      </c>
    </row>
    <row r="54" spans="1:9" x14ac:dyDescent="0.3">
      <c r="A54" s="1" t="s">
        <v>79</v>
      </c>
      <c r="B54" s="1" t="s">
        <v>17</v>
      </c>
      <c r="C54" s="1" t="s">
        <v>30</v>
      </c>
      <c r="D54" s="1">
        <v>93273</v>
      </c>
      <c r="E54" s="1">
        <v>72994</v>
      </c>
      <c r="F54" s="1" t="s">
        <v>23</v>
      </c>
      <c r="G54" t="str">
        <f t="shared" si="0"/>
        <v>High</v>
      </c>
      <c r="H54" t="str">
        <f t="shared" si="1"/>
        <v>Approved High-Value</v>
      </c>
      <c r="I54" t="str">
        <f t="shared" si="2"/>
        <v>High Risk</v>
      </c>
    </row>
    <row r="55" spans="1:9" x14ac:dyDescent="0.3">
      <c r="A55" t="s">
        <v>80</v>
      </c>
      <c r="B55" t="s">
        <v>21</v>
      </c>
      <c r="C55" t="s">
        <v>30</v>
      </c>
      <c r="D55">
        <v>119931</v>
      </c>
      <c r="E55">
        <v>63671</v>
      </c>
      <c r="F55" t="s">
        <v>26</v>
      </c>
      <c r="G55" t="str">
        <f t="shared" si="0"/>
        <v>High</v>
      </c>
      <c r="H55" t="str">
        <f t="shared" si="1"/>
        <v>Other</v>
      </c>
      <c r="I55" t="str">
        <f t="shared" si="2"/>
        <v>High Risk</v>
      </c>
    </row>
    <row r="56" spans="1:9" x14ac:dyDescent="0.3">
      <c r="A56" s="1" t="s">
        <v>81</v>
      </c>
      <c r="B56" s="1" t="s">
        <v>17</v>
      </c>
      <c r="C56" s="1" t="s">
        <v>18</v>
      </c>
      <c r="D56" s="1">
        <v>38151</v>
      </c>
      <c r="E56" s="1">
        <v>68059</v>
      </c>
      <c r="F56" s="1" t="s">
        <v>26</v>
      </c>
      <c r="G56" t="str">
        <f t="shared" si="0"/>
        <v>Low</v>
      </c>
      <c r="H56" t="str">
        <f t="shared" si="1"/>
        <v>Other</v>
      </c>
      <c r="I56" t="str">
        <f t="shared" si="2"/>
        <v>Low Risk</v>
      </c>
    </row>
    <row r="57" spans="1:9" x14ac:dyDescent="0.3">
      <c r="A57" t="s">
        <v>82</v>
      </c>
      <c r="B57" t="s">
        <v>17</v>
      </c>
      <c r="C57" t="s">
        <v>30</v>
      </c>
      <c r="D57">
        <v>47718</v>
      </c>
      <c r="E57">
        <v>58437</v>
      </c>
      <c r="F57" t="s">
        <v>19</v>
      </c>
      <c r="G57" t="str">
        <f t="shared" si="0"/>
        <v>Medium</v>
      </c>
      <c r="H57" t="str">
        <f t="shared" si="1"/>
        <v>Other</v>
      </c>
      <c r="I57" t="str">
        <f t="shared" si="2"/>
        <v>Medium Risk</v>
      </c>
    </row>
    <row r="58" spans="1:9" x14ac:dyDescent="0.3">
      <c r="A58" s="1" t="s">
        <v>83</v>
      </c>
      <c r="B58" s="1" t="s">
        <v>21</v>
      </c>
      <c r="C58" s="1" t="s">
        <v>22</v>
      </c>
      <c r="D58" s="1">
        <v>91943</v>
      </c>
      <c r="E58" s="1">
        <v>86579</v>
      </c>
      <c r="F58" s="1" t="s">
        <v>26</v>
      </c>
      <c r="G58" t="str">
        <f t="shared" si="0"/>
        <v>High</v>
      </c>
      <c r="H58" t="str">
        <f t="shared" si="1"/>
        <v>Other</v>
      </c>
      <c r="I58" t="str">
        <f t="shared" si="2"/>
        <v>High Risk</v>
      </c>
    </row>
    <row r="59" spans="1:9" x14ac:dyDescent="0.3">
      <c r="A59" t="s">
        <v>84</v>
      </c>
      <c r="B59" t="s">
        <v>17</v>
      </c>
      <c r="C59" t="s">
        <v>22</v>
      </c>
      <c r="D59">
        <v>40145</v>
      </c>
      <c r="E59">
        <v>75786</v>
      </c>
      <c r="F59" t="s">
        <v>19</v>
      </c>
      <c r="G59" t="str">
        <f t="shared" si="0"/>
        <v>Medium</v>
      </c>
      <c r="H59" t="str">
        <f t="shared" si="1"/>
        <v>Other</v>
      </c>
      <c r="I59" t="str">
        <f t="shared" si="2"/>
        <v>Medium Risk</v>
      </c>
    </row>
    <row r="60" spans="1:9" x14ac:dyDescent="0.3">
      <c r="A60" s="1" t="s">
        <v>85</v>
      </c>
      <c r="B60" s="1" t="s">
        <v>21</v>
      </c>
      <c r="C60" s="1" t="s">
        <v>38</v>
      </c>
      <c r="D60" s="1">
        <v>4817</v>
      </c>
      <c r="E60" s="1">
        <v>62753</v>
      </c>
      <c r="F60" s="1" t="s">
        <v>19</v>
      </c>
      <c r="G60" t="str">
        <f t="shared" si="0"/>
        <v>Low</v>
      </c>
      <c r="H60" t="str">
        <f t="shared" si="1"/>
        <v>Other</v>
      </c>
      <c r="I60" t="str">
        <f t="shared" si="2"/>
        <v>Low Risk</v>
      </c>
    </row>
    <row r="61" spans="1:9" x14ac:dyDescent="0.3">
      <c r="A61" t="s">
        <v>86</v>
      </c>
      <c r="B61" t="s">
        <v>25</v>
      </c>
      <c r="C61" t="s">
        <v>22</v>
      </c>
      <c r="D61">
        <v>80799</v>
      </c>
      <c r="E61">
        <v>61861</v>
      </c>
      <c r="F61" t="s">
        <v>19</v>
      </c>
      <c r="G61" t="str">
        <f t="shared" si="0"/>
        <v>High</v>
      </c>
      <c r="H61" t="str">
        <f t="shared" si="1"/>
        <v>Other</v>
      </c>
      <c r="I61" t="str">
        <f t="shared" si="2"/>
        <v>High Risk</v>
      </c>
    </row>
    <row r="62" spans="1:9" x14ac:dyDescent="0.3">
      <c r="A62" s="1" t="s">
        <v>87</v>
      </c>
      <c r="B62" s="1" t="s">
        <v>17</v>
      </c>
      <c r="C62" s="1" t="s">
        <v>18</v>
      </c>
      <c r="D62" s="1">
        <v>77134</v>
      </c>
      <c r="E62" s="1">
        <v>90692</v>
      </c>
      <c r="F62" s="1" t="s">
        <v>26</v>
      </c>
      <c r="G62" t="str">
        <f t="shared" si="0"/>
        <v>Medium</v>
      </c>
      <c r="H62" t="str">
        <f t="shared" si="1"/>
        <v>Other</v>
      </c>
      <c r="I62" t="str">
        <f t="shared" si="2"/>
        <v>Medium Risk</v>
      </c>
    </row>
    <row r="63" spans="1:9" x14ac:dyDescent="0.3">
      <c r="A63" t="s">
        <v>88</v>
      </c>
      <c r="B63" t="s">
        <v>21</v>
      </c>
      <c r="C63" t="s">
        <v>18</v>
      </c>
      <c r="D63">
        <v>27490</v>
      </c>
      <c r="E63">
        <v>58848</v>
      </c>
      <c r="F63" t="s">
        <v>19</v>
      </c>
      <c r="G63" t="str">
        <f t="shared" si="0"/>
        <v>Low</v>
      </c>
      <c r="H63" t="str">
        <f t="shared" si="1"/>
        <v>Other</v>
      </c>
      <c r="I63" t="str">
        <f t="shared" si="2"/>
        <v>Low Risk</v>
      </c>
    </row>
    <row r="64" spans="1:9" x14ac:dyDescent="0.3">
      <c r="A64" s="1" t="s">
        <v>89</v>
      </c>
      <c r="B64" s="1" t="s">
        <v>17</v>
      </c>
      <c r="C64" s="1" t="s">
        <v>38</v>
      </c>
      <c r="D64" s="1">
        <v>113362</v>
      </c>
      <c r="E64" s="1">
        <v>91124</v>
      </c>
      <c r="F64" s="1" t="s">
        <v>23</v>
      </c>
      <c r="G64" t="str">
        <f t="shared" si="0"/>
        <v>High</v>
      </c>
      <c r="H64" t="str">
        <f t="shared" si="1"/>
        <v>Approved High-Value</v>
      </c>
      <c r="I64" t="str">
        <f t="shared" si="2"/>
        <v>High Risk</v>
      </c>
    </row>
    <row r="65" spans="1:9" x14ac:dyDescent="0.3">
      <c r="A65" t="s">
        <v>90</v>
      </c>
      <c r="B65" t="s">
        <v>21</v>
      </c>
      <c r="C65" t="s">
        <v>18</v>
      </c>
      <c r="D65">
        <v>53264</v>
      </c>
      <c r="E65">
        <v>70993</v>
      </c>
      <c r="F65" t="s">
        <v>19</v>
      </c>
      <c r="G65" t="str">
        <f t="shared" si="0"/>
        <v>Medium</v>
      </c>
      <c r="H65" t="str">
        <f t="shared" si="1"/>
        <v>Other</v>
      </c>
      <c r="I65" t="str">
        <f t="shared" si="2"/>
        <v>Medium Risk</v>
      </c>
    </row>
    <row r="66" spans="1:9" x14ac:dyDescent="0.3">
      <c r="A66" s="1" t="s">
        <v>91</v>
      </c>
      <c r="B66" s="1" t="s">
        <v>21</v>
      </c>
      <c r="C66" s="1" t="s">
        <v>30</v>
      </c>
      <c r="D66" s="1">
        <v>10246</v>
      </c>
      <c r="E66" s="1">
        <v>69465</v>
      </c>
      <c r="F66" s="1" t="s">
        <v>23</v>
      </c>
      <c r="G66" t="str">
        <f t="shared" si="0"/>
        <v>Low</v>
      </c>
      <c r="H66" t="str">
        <f t="shared" si="1"/>
        <v>Other</v>
      </c>
      <c r="I66" t="str">
        <f t="shared" si="2"/>
        <v>Low Risk</v>
      </c>
    </row>
    <row r="67" spans="1:9" x14ac:dyDescent="0.3">
      <c r="A67" t="s">
        <v>92</v>
      </c>
      <c r="B67" t="s">
        <v>25</v>
      </c>
      <c r="C67" t="s">
        <v>38</v>
      </c>
      <c r="D67">
        <v>109012</v>
      </c>
      <c r="E67">
        <v>50260</v>
      </c>
      <c r="F67" t="s">
        <v>19</v>
      </c>
      <c r="G67" t="str">
        <f t="shared" ref="G67:G130" si="3">IF(D67&gt;=80000,"High",IF(D67&gt;=40000,"Medium","Low"))</f>
        <v>High</v>
      </c>
      <c r="H67" t="str">
        <f t="shared" ref="H67:H130" si="4">IF(AND(D67&gt;=80000,F67="Approved"),"Approved High-Value","Other")</f>
        <v>Other</v>
      </c>
      <c r="I67" t="str">
        <f t="shared" ref="I67:I130" si="5">IF(D67&gt;=80000,"High Risk",IF(D67&gt;=40000,"Medium Risk","Low Risk"))</f>
        <v>High Risk</v>
      </c>
    </row>
    <row r="68" spans="1:9" x14ac:dyDescent="0.3">
      <c r="A68" s="1" t="s">
        <v>93</v>
      </c>
      <c r="B68" s="1" t="s">
        <v>33</v>
      </c>
      <c r="C68" s="1" t="s">
        <v>38</v>
      </c>
      <c r="D68" s="1">
        <v>76568</v>
      </c>
      <c r="E68" s="1">
        <v>86153</v>
      </c>
      <c r="F68" s="1" t="s">
        <v>23</v>
      </c>
      <c r="G68" t="str">
        <f t="shared" si="3"/>
        <v>Medium</v>
      </c>
      <c r="H68" t="str">
        <f t="shared" si="4"/>
        <v>Other</v>
      </c>
      <c r="I68" t="str">
        <f t="shared" si="5"/>
        <v>Medium Risk</v>
      </c>
    </row>
    <row r="69" spans="1:9" x14ac:dyDescent="0.3">
      <c r="A69" t="s">
        <v>94</v>
      </c>
      <c r="B69" t="s">
        <v>33</v>
      </c>
      <c r="C69" t="s">
        <v>22</v>
      </c>
      <c r="D69">
        <v>83258</v>
      </c>
      <c r="E69">
        <v>76616</v>
      </c>
      <c r="F69" t="s">
        <v>26</v>
      </c>
      <c r="G69" t="str">
        <f t="shared" si="3"/>
        <v>High</v>
      </c>
      <c r="H69" t="str">
        <f t="shared" si="4"/>
        <v>Other</v>
      </c>
      <c r="I69" t="str">
        <f t="shared" si="5"/>
        <v>High Risk</v>
      </c>
    </row>
    <row r="70" spans="1:9" x14ac:dyDescent="0.3">
      <c r="A70" s="1" t="s">
        <v>95</v>
      </c>
      <c r="B70" s="1" t="s">
        <v>25</v>
      </c>
      <c r="C70" s="1" t="s">
        <v>22</v>
      </c>
      <c r="D70" s="1">
        <v>103807</v>
      </c>
      <c r="E70" s="1">
        <v>51148</v>
      </c>
      <c r="F70" s="1" t="s">
        <v>19</v>
      </c>
      <c r="G70" t="str">
        <f t="shared" si="3"/>
        <v>High</v>
      </c>
      <c r="H70" t="str">
        <f t="shared" si="4"/>
        <v>Other</v>
      </c>
      <c r="I70" t="str">
        <f t="shared" si="5"/>
        <v>High Risk</v>
      </c>
    </row>
    <row r="71" spans="1:9" x14ac:dyDescent="0.3">
      <c r="A71" t="s">
        <v>96</v>
      </c>
      <c r="B71" t="s">
        <v>25</v>
      </c>
      <c r="C71" t="s">
        <v>22</v>
      </c>
      <c r="D71">
        <v>34209</v>
      </c>
      <c r="E71">
        <v>64695</v>
      </c>
      <c r="F71" t="s">
        <v>23</v>
      </c>
      <c r="G71" t="str">
        <f t="shared" si="3"/>
        <v>Low</v>
      </c>
      <c r="H71" t="str">
        <f t="shared" si="4"/>
        <v>Other</v>
      </c>
      <c r="I71" t="str">
        <f t="shared" si="5"/>
        <v>Low Risk</v>
      </c>
    </row>
    <row r="72" spans="1:9" x14ac:dyDescent="0.3">
      <c r="A72" s="1" t="s">
        <v>97</v>
      </c>
      <c r="B72" s="1" t="s">
        <v>25</v>
      </c>
      <c r="C72" s="1" t="s">
        <v>38</v>
      </c>
      <c r="D72" s="1">
        <v>81118</v>
      </c>
      <c r="E72" s="1">
        <v>77074</v>
      </c>
      <c r="F72" s="1" t="s">
        <v>23</v>
      </c>
      <c r="G72" t="str">
        <f t="shared" si="3"/>
        <v>High</v>
      </c>
      <c r="H72" t="str">
        <f t="shared" si="4"/>
        <v>Approved High-Value</v>
      </c>
      <c r="I72" t="str">
        <f t="shared" si="5"/>
        <v>High Risk</v>
      </c>
    </row>
    <row r="73" spans="1:9" x14ac:dyDescent="0.3">
      <c r="A73" t="s">
        <v>98</v>
      </c>
      <c r="B73" t="s">
        <v>33</v>
      </c>
      <c r="C73" t="s">
        <v>18</v>
      </c>
      <c r="D73">
        <v>85094</v>
      </c>
      <c r="E73">
        <v>58236</v>
      </c>
      <c r="F73" t="s">
        <v>19</v>
      </c>
      <c r="G73" t="str">
        <f t="shared" si="3"/>
        <v>High</v>
      </c>
      <c r="H73" t="str">
        <f t="shared" si="4"/>
        <v>Other</v>
      </c>
      <c r="I73" t="str">
        <f t="shared" si="5"/>
        <v>High Risk</v>
      </c>
    </row>
    <row r="74" spans="1:9" x14ac:dyDescent="0.3">
      <c r="A74" s="1" t="s">
        <v>99</v>
      </c>
      <c r="B74" s="1" t="s">
        <v>33</v>
      </c>
      <c r="C74" s="1" t="s">
        <v>38</v>
      </c>
      <c r="D74" s="1">
        <v>65624</v>
      </c>
      <c r="E74" s="1">
        <v>69951</v>
      </c>
      <c r="F74" s="1" t="s">
        <v>19</v>
      </c>
      <c r="G74" t="str">
        <f t="shared" si="3"/>
        <v>Medium</v>
      </c>
      <c r="H74" t="str">
        <f t="shared" si="4"/>
        <v>Other</v>
      </c>
      <c r="I74" t="str">
        <f t="shared" si="5"/>
        <v>Medium Risk</v>
      </c>
    </row>
    <row r="75" spans="1:9" x14ac:dyDescent="0.3">
      <c r="A75" t="s">
        <v>100</v>
      </c>
      <c r="B75" t="s">
        <v>33</v>
      </c>
      <c r="C75" t="s">
        <v>22</v>
      </c>
      <c r="D75">
        <v>61835</v>
      </c>
      <c r="E75">
        <v>96926</v>
      </c>
      <c r="F75" t="s">
        <v>23</v>
      </c>
      <c r="G75" t="str">
        <f t="shared" si="3"/>
        <v>Medium</v>
      </c>
      <c r="H75" t="str">
        <f t="shared" si="4"/>
        <v>Other</v>
      </c>
      <c r="I75" t="str">
        <f t="shared" si="5"/>
        <v>Medium Risk</v>
      </c>
    </row>
    <row r="76" spans="1:9" x14ac:dyDescent="0.3">
      <c r="A76" s="1" t="s">
        <v>101</v>
      </c>
      <c r="B76" s="1" t="s">
        <v>17</v>
      </c>
      <c r="C76" s="1" t="s">
        <v>30</v>
      </c>
      <c r="D76" s="1">
        <v>41379</v>
      </c>
      <c r="E76" s="1">
        <v>71031</v>
      </c>
      <c r="F76" s="1" t="s">
        <v>23</v>
      </c>
      <c r="G76" t="str">
        <f t="shared" si="3"/>
        <v>Medium</v>
      </c>
      <c r="H76" t="str">
        <f t="shared" si="4"/>
        <v>Other</v>
      </c>
      <c r="I76" t="str">
        <f t="shared" si="5"/>
        <v>Medium Risk</v>
      </c>
    </row>
    <row r="77" spans="1:9" x14ac:dyDescent="0.3">
      <c r="A77" t="s">
        <v>102</v>
      </c>
      <c r="B77" t="s">
        <v>17</v>
      </c>
      <c r="C77" t="s">
        <v>30</v>
      </c>
      <c r="D77">
        <v>104880</v>
      </c>
      <c r="E77">
        <v>50823</v>
      </c>
      <c r="F77" t="s">
        <v>19</v>
      </c>
      <c r="G77" t="str">
        <f t="shared" si="3"/>
        <v>High</v>
      </c>
      <c r="H77" t="str">
        <f t="shared" si="4"/>
        <v>Other</v>
      </c>
      <c r="I77" t="str">
        <f t="shared" si="5"/>
        <v>High Risk</v>
      </c>
    </row>
    <row r="78" spans="1:9" x14ac:dyDescent="0.3">
      <c r="A78" s="1" t="s">
        <v>103</v>
      </c>
      <c r="B78" s="1" t="s">
        <v>21</v>
      </c>
      <c r="C78" s="1" t="s">
        <v>38</v>
      </c>
      <c r="D78" s="1">
        <v>34177</v>
      </c>
      <c r="E78" s="1">
        <v>97985</v>
      </c>
      <c r="F78" s="1" t="s">
        <v>26</v>
      </c>
      <c r="G78" t="str">
        <f t="shared" si="3"/>
        <v>Low</v>
      </c>
      <c r="H78" t="str">
        <f t="shared" si="4"/>
        <v>Other</v>
      </c>
      <c r="I78" t="str">
        <f t="shared" si="5"/>
        <v>Low Risk</v>
      </c>
    </row>
    <row r="79" spans="1:9" x14ac:dyDescent="0.3">
      <c r="A79" t="s">
        <v>104</v>
      </c>
      <c r="B79" t="s">
        <v>17</v>
      </c>
      <c r="C79" t="s">
        <v>18</v>
      </c>
      <c r="D79">
        <v>86901</v>
      </c>
      <c r="E79">
        <v>77654</v>
      </c>
      <c r="F79" t="s">
        <v>26</v>
      </c>
      <c r="G79" t="str">
        <f t="shared" si="3"/>
        <v>High</v>
      </c>
      <c r="H79" t="str">
        <f t="shared" si="4"/>
        <v>Other</v>
      </c>
      <c r="I79" t="str">
        <f t="shared" si="5"/>
        <v>High Risk</v>
      </c>
    </row>
    <row r="80" spans="1:9" x14ac:dyDescent="0.3">
      <c r="A80" s="1" t="s">
        <v>105</v>
      </c>
      <c r="B80" s="1" t="s">
        <v>21</v>
      </c>
      <c r="C80" s="1" t="s">
        <v>22</v>
      </c>
      <c r="D80" s="1">
        <v>11177</v>
      </c>
      <c r="E80" s="1">
        <v>54913</v>
      </c>
      <c r="F80" s="1" t="s">
        <v>23</v>
      </c>
      <c r="G80" t="str">
        <f t="shared" si="3"/>
        <v>Low</v>
      </c>
      <c r="H80" t="str">
        <f t="shared" si="4"/>
        <v>Other</v>
      </c>
      <c r="I80" t="str">
        <f t="shared" si="5"/>
        <v>Low Risk</v>
      </c>
    </row>
    <row r="81" spans="1:9" x14ac:dyDescent="0.3">
      <c r="A81" t="s">
        <v>106</v>
      </c>
      <c r="B81" t="s">
        <v>17</v>
      </c>
      <c r="C81" t="s">
        <v>30</v>
      </c>
      <c r="D81">
        <v>14543</v>
      </c>
      <c r="E81">
        <v>68244</v>
      </c>
      <c r="F81" t="s">
        <v>23</v>
      </c>
      <c r="G81" t="str">
        <f t="shared" si="3"/>
        <v>Low</v>
      </c>
      <c r="H81" t="str">
        <f t="shared" si="4"/>
        <v>Other</v>
      </c>
      <c r="I81" t="str">
        <f t="shared" si="5"/>
        <v>Low Risk</v>
      </c>
    </row>
    <row r="82" spans="1:9" x14ac:dyDescent="0.3">
      <c r="A82" s="1" t="s">
        <v>107</v>
      </c>
      <c r="B82" s="1" t="s">
        <v>17</v>
      </c>
      <c r="C82" s="1" t="s">
        <v>18</v>
      </c>
      <c r="D82" s="1">
        <v>40182</v>
      </c>
      <c r="E82" s="1">
        <v>75943</v>
      </c>
      <c r="F82" s="1" t="s">
        <v>23</v>
      </c>
      <c r="G82" t="str">
        <f t="shared" si="3"/>
        <v>Medium</v>
      </c>
      <c r="H82" t="str">
        <f t="shared" si="4"/>
        <v>Other</v>
      </c>
      <c r="I82" t="str">
        <f t="shared" si="5"/>
        <v>Medium Risk</v>
      </c>
    </row>
    <row r="83" spans="1:9" x14ac:dyDescent="0.3">
      <c r="A83" t="s">
        <v>108</v>
      </c>
      <c r="B83" t="s">
        <v>21</v>
      </c>
      <c r="C83" t="s">
        <v>30</v>
      </c>
      <c r="D83">
        <v>65556</v>
      </c>
      <c r="E83">
        <v>96034</v>
      </c>
      <c r="F83" t="s">
        <v>19</v>
      </c>
      <c r="G83" t="str">
        <f t="shared" si="3"/>
        <v>Medium</v>
      </c>
      <c r="H83" t="str">
        <f t="shared" si="4"/>
        <v>Other</v>
      </c>
      <c r="I83" t="str">
        <f t="shared" si="5"/>
        <v>Medium Risk</v>
      </c>
    </row>
    <row r="84" spans="1:9" x14ac:dyDescent="0.3">
      <c r="A84" s="1" t="s">
        <v>109</v>
      </c>
      <c r="B84" s="1" t="s">
        <v>21</v>
      </c>
      <c r="C84" s="1" t="s">
        <v>38</v>
      </c>
      <c r="D84" s="1">
        <v>83705</v>
      </c>
      <c r="E84" s="1">
        <v>97946</v>
      </c>
      <c r="F84" s="1" t="s">
        <v>26</v>
      </c>
      <c r="G84" t="str">
        <f t="shared" si="3"/>
        <v>High</v>
      </c>
      <c r="H84" t="str">
        <f t="shared" si="4"/>
        <v>Other</v>
      </c>
      <c r="I84" t="str">
        <f t="shared" si="5"/>
        <v>High Risk</v>
      </c>
    </row>
    <row r="85" spans="1:9" x14ac:dyDescent="0.3">
      <c r="A85" t="s">
        <v>110</v>
      </c>
      <c r="B85" t="s">
        <v>21</v>
      </c>
      <c r="C85" t="s">
        <v>38</v>
      </c>
      <c r="D85">
        <v>16890</v>
      </c>
      <c r="E85">
        <v>89808</v>
      </c>
      <c r="F85" t="s">
        <v>19</v>
      </c>
      <c r="G85" t="str">
        <f t="shared" si="3"/>
        <v>Low</v>
      </c>
      <c r="H85" t="str">
        <f t="shared" si="4"/>
        <v>Other</v>
      </c>
      <c r="I85" t="str">
        <f t="shared" si="5"/>
        <v>Low Risk</v>
      </c>
    </row>
    <row r="86" spans="1:9" x14ac:dyDescent="0.3">
      <c r="A86" s="1" t="s">
        <v>111</v>
      </c>
      <c r="B86" s="1" t="s">
        <v>33</v>
      </c>
      <c r="C86" s="1" t="s">
        <v>30</v>
      </c>
      <c r="D86" s="1">
        <v>5868</v>
      </c>
      <c r="E86" s="1">
        <v>52741</v>
      </c>
      <c r="F86" s="1" t="s">
        <v>19</v>
      </c>
      <c r="G86" t="str">
        <f t="shared" si="3"/>
        <v>Low</v>
      </c>
      <c r="H86" t="str">
        <f t="shared" si="4"/>
        <v>Other</v>
      </c>
      <c r="I86" t="str">
        <f t="shared" si="5"/>
        <v>Low Risk</v>
      </c>
    </row>
    <row r="87" spans="1:9" x14ac:dyDescent="0.3">
      <c r="A87" t="s">
        <v>112</v>
      </c>
      <c r="B87" t="s">
        <v>33</v>
      </c>
      <c r="C87" t="s">
        <v>30</v>
      </c>
      <c r="D87">
        <v>72244</v>
      </c>
      <c r="E87">
        <v>58778</v>
      </c>
      <c r="F87" t="s">
        <v>19</v>
      </c>
      <c r="G87" t="str">
        <f t="shared" si="3"/>
        <v>Medium</v>
      </c>
      <c r="H87" t="str">
        <f t="shared" si="4"/>
        <v>Other</v>
      </c>
      <c r="I87" t="str">
        <f t="shared" si="5"/>
        <v>Medium Risk</v>
      </c>
    </row>
    <row r="88" spans="1:9" x14ac:dyDescent="0.3">
      <c r="A88" s="1" t="s">
        <v>113</v>
      </c>
      <c r="B88" s="1" t="s">
        <v>21</v>
      </c>
      <c r="C88" s="1" t="s">
        <v>18</v>
      </c>
      <c r="D88" s="1">
        <v>90152</v>
      </c>
      <c r="E88" s="1">
        <v>56120</v>
      </c>
      <c r="F88" s="1" t="s">
        <v>23</v>
      </c>
      <c r="G88" t="str">
        <f t="shared" si="3"/>
        <v>High</v>
      </c>
      <c r="H88" t="str">
        <f t="shared" si="4"/>
        <v>Approved High-Value</v>
      </c>
      <c r="I88" t="str">
        <f t="shared" si="5"/>
        <v>High Risk</v>
      </c>
    </row>
    <row r="89" spans="1:9" x14ac:dyDescent="0.3">
      <c r="A89" t="s">
        <v>114</v>
      </c>
      <c r="B89" t="s">
        <v>25</v>
      </c>
      <c r="C89" t="s">
        <v>22</v>
      </c>
      <c r="D89">
        <v>84512</v>
      </c>
      <c r="E89">
        <v>96010</v>
      </c>
      <c r="F89" t="s">
        <v>26</v>
      </c>
      <c r="G89" t="str">
        <f t="shared" si="3"/>
        <v>High</v>
      </c>
      <c r="H89" t="str">
        <f t="shared" si="4"/>
        <v>Other</v>
      </c>
      <c r="I89" t="str">
        <f t="shared" si="5"/>
        <v>High Risk</v>
      </c>
    </row>
    <row r="90" spans="1:9" x14ac:dyDescent="0.3">
      <c r="A90" s="1" t="s">
        <v>115</v>
      </c>
      <c r="B90" s="1" t="s">
        <v>21</v>
      </c>
      <c r="C90" s="1" t="s">
        <v>22</v>
      </c>
      <c r="D90" s="1">
        <v>8601</v>
      </c>
      <c r="E90" s="1">
        <v>56492</v>
      </c>
      <c r="F90" s="1" t="s">
        <v>19</v>
      </c>
      <c r="G90" t="str">
        <f t="shared" si="3"/>
        <v>Low</v>
      </c>
      <c r="H90" t="str">
        <f t="shared" si="4"/>
        <v>Other</v>
      </c>
      <c r="I90" t="str">
        <f t="shared" si="5"/>
        <v>Low Risk</v>
      </c>
    </row>
    <row r="91" spans="1:9" x14ac:dyDescent="0.3">
      <c r="A91" t="s">
        <v>116</v>
      </c>
      <c r="B91" t="s">
        <v>21</v>
      </c>
      <c r="C91" t="s">
        <v>30</v>
      </c>
      <c r="D91">
        <v>70013</v>
      </c>
      <c r="E91">
        <v>69630</v>
      </c>
      <c r="F91" t="s">
        <v>26</v>
      </c>
      <c r="G91" t="str">
        <f t="shared" si="3"/>
        <v>Medium</v>
      </c>
      <c r="H91" t="str">
        <f t="shared" si="4"/>
        <v>Other</v>
      </c>
      <c r="I91" t="str">
        <f t="shared" si="5"/>
        <v>Medium Risk</v>
      </c>
    </row>
    <row r="92" spans="1:9" x14ac:dyDescent="0.3">
      <c r="A92" s="1" t="s">
        <v>117</v>
      </c>
      <c r="B92" s="1" t="s">
        <v>21</v>
      </c>
      <c r="C92" s="1" t="s">
        <v>38</v>
      </c>
      <c r="D92" s="1">
        <v>106265</v>
      </c>
      <c r="E92" s="1">
        <v>65511</v>
      </c>
      <c r="F92" s="1" t="s">
        <v>23</v>
      </c>
      <c r="G92" t="str">
        <f t="shared" si="3"/>
        <v>High</v>
      </c>
      <c r="H92" t="str">
        <f t="shared" si="4"/>
        <v>Approved High-Value</v>
      </c>
      <c r="I92" t="str">
        <f t="shared" si="5"/>
        <v>High Risk</v>
      </c>
    </row>
    <row r="93" spans="1:9" x14ac:dyDescent="0.3">
      <c r="A93" t="s">
        <v>118</v>
      </c>
      <c r="B93" t="s">
        <v>33</v>
      </c>
      <c r="C93" t="s">
        <v>30</v>
      </c>
      <c r="D93">
        <v>39621</v>
      </c>
      <c r="E93">
        <v>67298</v>
      </c>
      <c r="F93" t="s">
        <v>19</v>
      </c>
      <c r="G93" t="str">
        <f t="shared" si="3"/>
        <v>Low</v>
      </c>
      <c r="H93" t="str">
        <f t="shared" si="4"/>
        <v>Other</v>
      </c>
      <c r="I93" t="str">
        <f t="shared" si="5"/>
        <v>Low Risk</v>
      </c>
    </row>
    <row r="94" spans="1:9" x14ac:dyDescent="0.3">
      <c r="A94" s="1" t="s">
        <v>119</v>
      </c>
      <c r="B94" s="1" t="s">
        <v>33</v>
      </c>
      <c r="C94" s="1" t="s">
        <v>22</v>
      </c>
      <c r="D94" s="1">
        <v>34819</v>
      </c>
      <c r="E94" s="1">
        <v>62721</v>
      </c>
      <c r="F94" s="1" t="s">
        <v>26</v>
      </c>
      <c r="G94" t="str">
        <f t="shared" si="3"/>
        <v>Low</v>
      </c>
      <c r="H94" t="str">
        <f t="shared" si="4"/>
        <v>Other</v>
      </c>
      <c r="I94" t="str">
        <f t="shared" si="5"/>
        <v>Low Risk</v>
      </c>
    </row>
    <row r="95" spans="1:9" x14ac:dyDescent="0.3">
      <c r="A95" t="s">
        <v>120</v>
      </c>
      <c r="B95" t="s">
        <v>33</v>
      </c>
      <c r="C95" t="s">
        <v>18</v>
      </c>
      <c r="D95">
        <v>37537</v>
      </c>
      <c r="E95">
        <v>77148</v>
      </c>
      <c r="F95" t="s">
        <v>26</v>
      </c>
      <c r="G95" t="str">
        <f t="shared" si="3"/>
        <v>Low</v>
      </c>
      <c r="H95" t="str">
        <f t="shared" si="4"/>
        <v>Other</v>
      </c>
      <c r="I95" t="str">
        <f t="shared" si="5"/>
        <v>Low Risk</v>
      </c>
    </row>
    <row r="96" spans="1:9" x14ac:dyDescent="0.3">
      <c r="A96" s="1" t="s">
        <v>121</v>
      </c>
      <c r="B96" s="1" t="s">
        <v>17</v>
      </c>
      <c r="C96" s="1" t="s">
        <v>38</v>
      </c>
      <c r="D96" s="1">
        <v>23745</v>
      </c>
      <c r="E96" s="1">
        <v>60784</v>
      </c>
      <c r="F96" s="1" t="s">
        <v>23</v>
      </c>
      <c r="G96" t="str">
        <f t="shared" si="3"/>
        <v>Low</v>
      </c>
      <c r="H96" t="str">
        <f t="shared" si="4"/>
        <v>Other</v>
      </c>
      <c r="I96" t="str">
        <f t="shared" si="5"/>
        <v>Low Risk</v>
      </c>
    </row>
    <row r="97" spans="1:9" x14ac:dyDescent="0.3">
      <c r="A97" t="s">
        <v>122</v>
      </c>
      <c r="B97" t="s">
        <v>21</v>
      </c>
      <c r="C97" t="s">
        <v>30</v>
      </c>
      <c r="D97">
        <v>54662</v>
      </c>
      <c r="E97">
        <v>72815</v>
      </c>
      <c r="F97" t="s">
        <v>23</v>
      </c>
      <c r="G97" t="str">
        <f t="shared" si="3"/>
        <v>Medium</v>
      </c>
      <c r="H97" t="str">
        <f t="shared" si="4"/>
        <v>Other</v>
      </c>
      <c r="I97" t="str">
        <f t="shared" si="5"/>
        <v>Medium Risk</v>
      </c>
    </row>
    <row r="98" spans="1:9" x14ac:dyDescent="0.3">
      <c r="A98" s="1" t="s">
        <v>123</v>
      </c>
      <c r="B98" s="1" t="s">
        <v>33</v>
      </c>
      <c r="C98" s="1" t="s">
        <v>30</v>
      </c>
      <c r="D98" s="1">
        <v>15428</v>
      </c>
      <c r="E98" s="1">
        <v>89352</v>
      </c>
      <c r="F98" s="1" t="s">
        <v>23</v>
      </c>
      <c r="G98" t="str">
        <f t="shared" si="3"/>
        <v>Low</v>
      </c>
      <c r="H98" t="str">
        <f t="shared" si="4"/>
        <v>Other</v>
      </c>
      <c r="I98" t="str">
        <f t="shared" si="5"/>
        <v>Low Risk</v>
      </c>
    </row>
    <row r="99" spans="1:9" x14ac:dyDescent="0.3">
      <c r="A99" t="s">
        <v>124</v>
      </c>
      <c r="B99" t="s">
        <v>33</v>
      </c>
      <c r="C99" t="s">
        <v>38</v>
      </c>
      <c r="D99">
        <v>73048</v>
      </c>
      <c r="E99">
        <v>74299</v>
      </c>
      <c r="F99" t="s">
        <v>19</v>
      </c>
      <c r="G99" t="str">
        <f t="shared" si="3"/>
        <v>Medium</v>
      </c>
      <c r="H99" t="str">
        <f t="shared" si="4"/>
        <v>Other</v>
      </c>
      <c r="I99" t="str">
        <f t="shared" si="5"/>
        <v>Medium Risk</v>
      </c>
    </row>
    <row r="100" spans="1:9" x14ac:dyDescent="0.3">
      <c r="A100" s="1" t="s">
        <v>125</v>
      </c>
      <c r="B100" s="1" t="s">
        <v>21</v>
      </c>
      <c r="C100" s="1" t="s">
        <v>30</v>
      </c>
      <c r="D100" s="1">
        <v>46256</v>
      </c>
      <c r="E100" s="1">
        <v>72841</v>
      </c>
      <c r="F100" s="1" t="s">
        <v>26</v>
      </c>
      <c r="G100" t="str">
        <f t="shared" si="3"/>
        <v>Medium</v>
      </c>
      <c r="H100" t="str">
        <f t="shared" si="4"/>
        <v>Other</v>
      </c>
      <c r="I100" t="str">
        <f t="shared" si="5"/>
        <v>Medium Risk</v>
      </c>
    </row>
    <row r="101" spans="1:9" x14ac:dyDescent="0.3">
      <c r="A101" t="s">
        <v>126</v>
      </c>
      <c r="B101" t="s">
        <v>21</v>
      </c>
      <c r="C101" t="s">
        <v>30</v>
      </c>
      <c r="D101">
        <v>8637</v>
      </c>
      <c r="E101">
        <v>74822</v>
      </c>
      <c r="F101" t="s">
        <v>23</v>
      </c>
      <c r="G101" t="str">
        <f t="shared" si="3"/>
        <v>Low</v>
      </c>
      <c r="H101" t="str">
        <f t="shared" si="4"/>
        <v>Other</v>
      </c>
      <c r="I101" t="str">
        <f t="shared" si="5"/>
        <v>Low Risk</v>
      </c>
    </row>
    <row r="102" spans="1:9" x14ac:dyDescent="0.3">
      <c r="A102" s="1" t="s">
        <v>127</v>
      </c>
      <c r="B102" s="1" t="s">
        <v>17</v>
      </c>
      <c r="C102" s="1" t="s">
        <v>22</v>
      </c>
      <c r="D102" s="1">
        <v>41893</v>
      </c>
      <c r="E102" s="1">
        <v>79027</v>
      </c>
      <c r="F102" s="1" t="s">
        <v>23</v>
      </c>
      <c r="G102" t="str">
        <f t="shared" si="3"/>
        <v>Medium</v>
      </c>
      <c r="H102" t="str">
        <f t="shared" si="4"/>
        <v>Other</v>
      </c>
      <c r="I102" t="str">
        <f t="shared" si="5"/>
        <v>Medium Risk</v>
      </c>
    </row>
    <row r="103" spans="1:9" x14ac:dyDescent="0.3">
      <c r="A103" t="s">
        <v>128</v>
      </c>
      <c r="B103" t="s">
        <v>33</v>
      </c>
      <c r="C103" t="s">
        <v>30</v>
      </c>
      <c r="D103">
        <v>21994</v>
      </c>
      <c r="E103">
        <v>55945</v>
      </c>
      <c r="F103" t="s">
        <v>26</v>
      </c>
      <c r="G103" t="str">
        <f t="shared" si="3"/>
        <v>Low</v>
      </c>
      <c r="H103" t="str">
        <f t="shared" si="4"/>
        <v>Other</v>
      </c>
      <c r="I103" t="str">
        <f t="shared" si="5"/>
        <v>Low Risk</v>
      </c>
    </row>
    <row r="104" spans="1:9" x14ac:dyDescent="0.3">
      <c r="A104" s="1" t="s">
        <v>129</v>
      </c>
      <c r="B104" s="1" t="s">
        <v>25</v>
      </c>
      <c r="C104" s="1" t="s">
        <v>18</v>
      </c>
      <c r="D104" s="1">
        <v>37157</v>
      </c>
      <c r="E104" s="1">
        <v>86756</v>
      </c>
      <c r="F104" s="1" t="s">
        <v>26</v>
      </c>
      <c r="G104" t="str">
        <f t="shared" si="3"/>
        <v>Low</v>
      </c>
      <c r="H104" t="str">
        <f t="shared" si="4"/>
        <v>Other</v>
      </c>
      <c r="I104" t="str">
        <f t="shared" si="5"/>
        <v>Low Risk</v>
      </c>
    </row>
    <row r="105" spans="1:9" x14ac:dyDescent="0.3">
      <c r="A105" t="s">
        <v>130</v>
      </c>
      <c r="B105" t="s">
        <v>25</v>
      </c>
      <c r="C105" t="s">
        <v>18</v>
      </c>
      <c r="D105">
        <v>8818</v>
      </c>
      <c r="E105">
        <v>59630</v>
      </c>
      <c r="F105" t="s">
        <v>19</v>
      </c>
      <c r="G105" t="str">
        <f t="shared" si="3"/>
        <v>Low</v>
      </c>
      <c r="H105" t="str">
        <f t="shared" si="4"/>
        <v>Other</v>
      </c>
      <c r="I105" t="str">
        <f t="shared" si="5"/>
        <v>Low Risk</v>
      </c>
    </row>
    <row r="106" spans="1:9" x14ac:dyDescent="0.3">
      <c r="A106" s="1" t="s">
        <v>131</v>
      </c>
      <c r="B106" s="1" t="s">
        <v>17</v>
      </c>
      <c r="C106" s="1" t="s">
        <v>22</v>
      </c>
      <c r="D106" s="1">
        <v>95717</v>
      </c>
      <c r="E106" s="1">
        <v>95953</v>
      </c>
      <c r="F106" s="1" t="s">
        <v>23</v>
      </c>
      <c r="G106" t="str">
        <f t="shared" si="3"/>
        <v>High</v>
      </c>
      <c r="H106" t="str">
        <f t="shared" si="4"/>
        <v>Approved High-Value</v>
      </c>
      <c r="I106" t="str">
        <f t="shared" si="5"/>
        <v>High Risk</v>
      </c>
    </row>
    <row r="107" spans="1:9" x14ac:dyDescent="0.3">
      <c r="A107" t="s">
        <v>132</v>
      </c>
      <c r="B107" t="s">
        <v>33</v>
      </c>
      <c r="C107" t="s">
        <v>38</v>
      </c>
      <c r="D107">
        <v>45222</v>
      </c>
      <c r="E107">
        <v>69471</v>
      </c>
      <c r="F107" t="s">
        <v>19</v>
      </c>
      <c r="G107" t="str">
        <f t="shared" si="3"/>
        <v>Medium</v>
      </c>
      <c r="H107" t="str">
        <f t="shared" si="4"/>
        <v>Other</v>
      </c>
      <c r="I107" t="str">
        <f t="shared" si="5"/>
        <v>Medium Risk</v>
      </c>
    </row>
    <row r="108" spans="1:9" x14ac:dyDescent="0.3">
      <c r="A108" s="1" t="s">
        <v>133</v>
      </c>
      <c r="B108" s="1" t="s">
        <v>17</v>
      </c>
      <c r="C108" s="1" t="s">
        <v>38</v>
      </c>
      <c r="D108" s="1">
        <v>111377</v>
      </c>
      <c r="E108" s="1">
        <v>73798</v>
      </c>
      <c r="F108" s="1" t="s">
        <v>26</v>
      </c>
      <c r="G108" t="str">
        <f t="shared" si="3"/>
        <v>High</v>
      </c>
      <c r="H108" t="str">
        <f t="shared" si="4"/>
        <v>Other</v>
      </c>
      <c r="I108" t="str">
        <f t="shared" si="5"/>
        <v>High Risk</v>
      </c>
    </row>
    <row r="109" spans="1:9" x14ac:dyDescent="0.3">
      <c r="A109" t="s">
        <v>134</v>
      </c>
      <c r="B109" t="s">
        <v>17</v>
      </c>
      <c r="C109" t="s">
        <v>38</v>
      </c>
      <c r="D109">
        <v>6925</v>
      </c>
      <c r="E109">
        <v>59974</v>
      </c>
      <c r="F109" t="s">
        <v>23</v>
      </c>
      <c r="G109" t="str">
        <f t="shared" si="3"/>
        <v>Low</v>
      </c>
      <c r="H109" t="str">
        <f t="shared" si="4"/>
        <v>Other</v>
      </c>
      <c r="I109" t="str">
        <f t="shared" si="5"/>
        <v>Low Risk</v>
      </c>
    </row>
    <row r="110" spans="1:9" x14ac:dyDescent="0.3">
      <c r="A110" s="1" t="s">
        <v>135</v>
      </c>
      <c r="B110" s="1" t="s">
        <v>25</v>
      </c>
      <c r="C110" s="1" t="s">
        <v>22</v>
      </c>
      <c r="D110" s="1">
        <v>21044</v>
      </c>
      <c r="E110" s="1">
        <v>53155</v>
      </c>
      <c r="F110" s="1" t="s">
        <v>19</v>
      </c>
      <c r="G110" t="str">
        <f t="shared" si="3"/>
        <v>Low</v>
      </c>
      <c r="H110" t="str">
        <f t="shared" si="4"/>
        <v>Other</v>
      </c>
      <c r="I110" t="str">
        <f t="shared" si="5"/>
        <v>Low Risk</v>
      </c>
    </row>
    <row r="111" spans="1:9" x14ac:dyDescent="0.3">
      <c r="A111" t="s">
        <v>136</v>
      </c>
      <c r="B111" t="s">
        <v>33</v>
      </c>
      <c r="C111" t="s">
        <v>22</v>
      </c>
      <c r="D111">
        <v>100646</v>
      </c>
      <c r="E111">
        <v>76098</v>
      </c>
      <c r="F111" t="s">
        <v>26</v>
      </c>
      <c r="G111" t="str">
        <f t="shared" si="3"/>
        <v>High</v>
      </c>
      <c r="H111" t="str">
        <f t="shared" si="4"/>
        <v>Other</v>
      </c>
      <c r="I111" t="str">
        <f t="shared" si="5"/>
        <v>High Risk</v>
      </c>
    </row>
    <row r="112" spans="1:9" x14ac:dyDescent="0.3">
      <c r="A112" s="1" t="s">
        <v>137</v>
      </c>
      <c r="B112" s="1" t="s">
        <v>25</v>
      </c>
      <c r="C112" s="1" t="s">
        <v>22</v>
      </c>
      <c r="D112" s="1">
        <v>61101</v>
      </c>
      <c r="E112" s="1">
        <v>66687</v>
      </c>
      <c r="F112" s="1" t="s">
        <v>26</v>
      </c>
      <c r="G112" t="str">
        <f t="shared" si="3"/>
        <v>Medium</v>
      </c>
      <c r="H112" t="str">
        <f t="shared" si="4"/>
        <v>Other</v>
      </c>
      <c r="I112" t="str">
        <f t="shared" si="5"/>
        <v>Medium Risk</v>
      </c>
    </row>
    <row r="113" spans="1:9" x14ac:dyDescent="0.3">
      <c r="A113" t="s">
        <v>138</v>
      </c>
      <c r="B113" t="s">
        <v>25</v>
      </c>
      <c r="C113" t="s">
        <v>22</v>
      </c>
      <c r="D113">
        <v>32529</v>
      </c>
      <c r="E113">
        <v>65913</v>
      </c>
      <c r="F113" t="s">
        <v>26</v>
      </c>
      <c r="G113" t="str">
        <f t="shared" si="3"/>
        <v>Low</v>
      </c>
      <c r="H113" t="str">
        <f t="shared" si="4"/>
        <v>Other</v>
      </c>
      <c r="I113" t="str">
        <f t="shared" si="5"/>
        <v>Low Risk</v>
      </c>
    </row>
    <row r="114" spans="1:9" x14ac:dyDescent="0.3">
      <c r="A114" s="1" t="s">
        <v>139</v>
      </c>
      <c r="B114" s="1" t="s">
        <v>25</v>
      </c>
      <c r="C114" s="1" t="s">
        <v>22</v>
      </c>
      <c r="D114" s="1">
        <v>17670</v>
      </c>
      <c r="E114" s="1">
        <v>71486</v>
      </c>
      <c r="F114" s="1" t="s">
        <v>23</v>
      </c>
      <c r="G114" t="str">
        <f t="shared" si="3"/>
        <v>Low</v>
      </c>
      <c r="H114" t="str">
        <f t="shared" si="4"/>
        <v>Other</v>
      </c>
      <c r="I114" t="str">
        <f t="shared" si="5"/>
        <v>Low Risk</v>
      </c>
    </row>
    <row r="115" spans="1:9" x14ac:dyDescent="0.3">
      <c r="A115" t="s">
        <v>140</v>
      </c>
      <c r="B115" t="s">
        <v>21</v>
      </c>
      <c r="C115" t="s">
        <v>30</v>
      </c>
      <c r="D115">
        <v>92369</v>
      </c>
      <c r="E115">
        <v>51780</v>
      </c>
      <c r="F115" t="s">
        <v>26</v>
      </c>
      <c r="G115" t="str">
        <f t="shared" si="3"/>
        <v>High</v>
      </c>
      <c r="H115" t="str">
        <f t="shared" si="4"/>
        <v>Other</v>
      </c>
      <c r="I115" t="str">
        <f t="shared" si="5"/>
        <v>High Risk</v>
      </c>
    </row>
    <row r="116" spans="1:9" x14ac:dyDescent="0.3">
      <c r="A116" s="1" t="s">
        <v>141</v>
      </c>
      <c r="B116" s="1" t="s">
        <v>25</v>
      </c>
      <c r="C116" s="1" t="s">
        <v>18</v>
      </c>
      <c r="D116" s="1">
        <v>33813</v>
      </c>
      <c r="E116" s="1">
        <v>78415</v>
      </c>
      <c r="F116" s="1" t="s">
        <v>19</v>
      </c>
      <c r="G116" t="str">
        <f t="shared" si="3"/>
        <v>Low</v>
      </c>
      <c r="H116" t="str">
        <f t="shared" si="4"/>
        <v>Other</v>
      </c>
      <c r="I116" t="str">
        <f t="shared" si="5"/>
        <v>Low Risk</v>
      </c>
    </row>
    <row r="117" spans="1:9" x14ac:dyDescent="0.3">
      <c r="A117" t="s">
        <v>142</v>
      </c>
      <c r="B117" t="s">
        <v>21</v>
      </c>
      <c r="C117" t="s">
        <v>38</v>
      </c>
      <c r="D117">
        <v>65849</v>
      </c>
      <c r="E117">
        <v>55901</v>
      </c>
      <c r="F117" t="s">
        <v>23</v>
      </c>
      <c r="G117" t="str">
        <f t="shared" si="3"/>
        <v>Medium</v>
      </c>
      <c r="H117" t="str">
        <f t="shared" si="4"/>
        <v>Other</v>
      </c>
      <c r="I117" t="str">
        <f t="shared" si="5"/>
        <v>Medium Risk</v>
      </c>
    </row>
    <row r="118" spans="1:9" x14ac:dyDescent="0.3">
      <c r="A118" s="1" t="s">
        <v>143</v>
      </c>
      <c r="B118" s="1" t="s">
        <v>25</v>
      </c>
      <c r="C118" s="1" t="s">
        <v>18</v>
      </c>
      <c r="D118" s="1">
        <v>86375</v>
      </c>
      <c r="E118" s="1">
        <v>93854</v>
      </c>
      <c r="F118" s="1" t="s">
        <v>19</v>
      </c>
      <c r="G118" t="str">
        <f t="shared" si="3"/>
        <v>High</v>
      </c>
      <c r="H118" t="str">
        <f t="shared" si="4"/>
        <v>Other</v>
      </c>
      <c r="I118" t="str">
        <f t="shared" si="5"/>
        <v>High Risk</v>
      </c>
    </row>
    <row r="119" spans="1:9" x14ac:dyDescent="0.3">
      <c r="A119" t="s">
        <v>144</v>
      </c>
      <c r="B119" t="s">
        <v>21</v>
      </c>
      <c r="C119" t="s">
        <v>30</v>
      </c>
      <c r="D119">
        <v>45063</v>
      </c>
      <c r="E119">
        <v>77964</v>
      </c>
      <c r="F119" t="s">
        <v>23</v>
      </c>
      <c r="G119" t="str">
        <f t="shared" si="3"/>
        <v>Medium</v>
      </c>
      <c r="H119" t="str">
        <f t="shared" si="4"/>
        <v>Other</v>
      </c>
      <c r="I119" t="str">
        <f t="shared" si="5"/>
        <v>Medium Risk</v>
      </c>
    </row>
    <row r="120" spans="1:9" x14ac:dyDescent="0.3">
      <c r="A120" s="1" t="s">
        <v>145</v>
      </c>
      <c r="B120" s="1" t="s">
        <v>33</v>
      </c>
      <c r="C120" s="1" t="s">
        <v>30</v>
      </c>
      <c r="D120" s="1">
        <v>37293</v>
      </c>
      <c r="E120" s="1">
        <v>95630</v>
      </c>
      <c r="F120" s="1" t="s">
        <v>23</v>
      </c>
      <c r="G120" t="str">
        <f t="shared" si="3"/>
        <v>Low</v>
      </c>
      <c r="H120" t="str">
        <f t="shared" si="4"/>
        <v>Other</v>
      </c>
      <c r="I120" t="str">
        <f t="shared" si="5"/>
        <v>Low Risk</v>
      </c>
    </row>
    <row r="121" spans="1:9" x14ac:dyDescent="0.3">
      <c r="A121" t="s">
        <v>146</v>
      </c>
      <c r="B121" t="s">
        <v>33</v>
      </c>
      <c r="C121" t="s">
        <v>38</v>
      </c>
      <c r="D121">
        <v>83076</v>
      </c>
      <c r="E121">
        <v>68282</v>
      </c>
      <c r="F121" t="s">
        <v>23</v>
      </c>
      <c r="G121" t="str">
        <f t="shared" si="3"/>
        <v>High</v>
      </c>
      <c r="H121" t="str">
        <f t="shared" si="4"/>
        <v>Approved High-Value</v>
      </c>
      <c r="I121" t="str">
        <f t="shared" si="5"/>
        <v>High Risk</v>
      </c>
    </row>
    <row r="122" spans="1:9" x14ac:dyDescent="0.3">
      <c r="A122" s="1" t="s">
        <v>147</v>
      </c>
      <c r="B122" s="1" t="s">
        <v>25</v>
      </c>
      <c r="C122" s="1" t="s">
        <v>22</v>
      </c>
      <c r="D122" s="1">
        <v>84343</v>
      </c>
      <c r="E122" s="1">
        <v>80544</v>
      </c>
      <c r="F122" s="1" t="s">
        <v>19</v>
      </c>
      <c r="G122" t="str">
        <f t="shared" si="3"/>
        <v>High</v>
      </c>
      <c r="H122" t="str">
        <f t="shared" si="4"/>
        <v>Other</v>
      </c>
      <c r="I122" t="str">
        <f t="shared" si="5"/>
        <v>High Risk</v>
      </c>
    </row>
    <row r="123" spans="1:9" x14ac:dyDescent="0.3">
      <c r="A123" t="s">
        <v>148</v>
      </c>
      <c r="B123" t="s">
        <v>25</v>
      </c>
      <c r="C123" t="s">
        <v>30</v>
      </c>
      <c r="D123">
        <v>38502</v>
      </c>
      <c r="E123">
        <v>89288</v>
      </c>
      <c r="F123" t="s">
        <v>26</v>
      </c>
      <c r="G123" t="str">
        <f t="shared" si="3"/>
        <v>Low</v>
      </c>
      <c r="H123" t="str">
        <f t="shared" si="4"/>
        <v>Other</v>
      </c>
      <c r="I123" t="str">
        <f t="shared" si="5"/>
        <v>Low Risk</v>
      </c>
    </row>
    <row r="124" spans="1:9" x14ac:dyDescent="0.3">
      <c r="A124" s="1" t="s">
        <v>149</v>
      </c>
      <c r="B124" s="1" t="s">
        <v>21</v>
      </c>
      <c r="C124" s="1" t="s">
        <v>38</v>
      </c>
      <c r="D124" s="1">
        <v>58153</v>
      </c>
      <c r="E124" s="1">
        <v>92844</v>
      </c>
      <c r="F124" s="1" t="s">
        <v>26</v>
      </c>
      <c r="G124" t="str">
        <f t="shared" si="3"/>
        <v>Medium</v>
      </c>
      <c r="H124" t="str">
        <f t="shared" si="4"/>
        <v>Other</v>
      </c>
      <c r="I124" t="str">
        <f t="shared" si="5"/>
        <v>Medium Risk</v>
      </c>
    </row>
    <row r="125" spans="1:9" x14ac:dyDescent="0.3">
      <c r="A125" t="s">
        <v>150</v>
      </c>
      <c r="B125" t="s">
        <v>33</v>
      </c>
      <c r="C125" t="s">
        <v>38</v>
      </c>
      <c r="D125">
        <v>72788</v>
      </c>
      <c r="E125">
        <v>96799</v>
      </c>
      <c r="F125" t="s">
        <v>19</v>
      </c>
      <c r="G125" t="str">
        <f t="shared" si="3"/>
        <v>Medium</v>
      </c>
      <c r="H125" t="str">
        <f t="shared" si="4"/>
        <v>Other</v>
      </c>
      <c r="I125" t="str">
        <f t="shared" si="5"/>
        <v>Medium Risk</v>
      </c>
    </row>
    <row r="126" spans="1:9" x14ac:dyDescent="0.3">
      <c r="A126" s="1" t="s">
        <v>151</v>
      </c>
      <c r="B126" s="1" t="s">
        <v>17</v>
      </c>
      <c r="C126" s="1" t="s">
        <v>22</v>
      </c>
      <c r="D126" s="1">
        <v>46017</v>
      </c>
      <c r="E126" s="1">
        <v>95116</v>
      </c>
      <c r="F126" s="1" t="s">
        <v>26</v>
      </c>
      <c r="G126" t="str">
        <f t="shared" si="3"/>
        <v>Medium</v>
      </c>
      <c r="H126" t="str">
        <f t="shared" si="4"/>
        <v>Other</v>
      </c>
      <c r="I126" t="str">
        <f t="shared" si="5"/>
        <v>Medium Risk</v>
      </c>
    </row>
    <row r="127" spans="1:9" x14ac:dyDescent="0.3">
      <c r="A127" t="s">
        <v>152</v>
      </c>
      <c r="B127" t="s">
        <v>17</v>
      </c>
      <c r="C127" t="s">
        <v>38</v>
      </c>
      <c r="D127">
        <v>96235</v>
      </c>
      <c r="E127">
        <v>94321</v>
      </c>
      <c r="F127" t="s">
        <v>19</v>
      </c>
      <c r="G127" t="str">
        <f t="shared" si="3"/>
        <v>High</v>
      </c>
      <c r="H127" t="str">
        <f t="shared" si="4"/>
        <v>Other</v>
      </c>
      <c r="I127" t="str">
        <f t="shared" si="5"/>
        <v>High Risk</v>
      </c>
    </row>
    <row r="128" spans="1:9" x14ac:dyDescent="0.3">
      <c r="A128" s="1" t="s">
        <v>153</v>
      </c>
      <c r="B128" s="1" t="s">
        <v>17</v>
      </c>
      <c r="C128" s="1" t="s">
        <v>22</v>
      </c>
      <c r="D128" s="1">
        <v>93969</v>
      </c>
      <c r="E128" s="1">
        <v>93473</v>
      </c>
      <c r="F128" s="1" t="s">
        <v>26</v>
      </c>
      <c r="G128" t="str">
        <f t="shared" si="3"/>
        <v>High</v>
      </c>
      <c r="H128" t="str">
        <f t="shared" si="4"/>
        <v>Other</v>
      </c>
      <c r="I128" t="str">
        <f t="shared" si="5"/>
        <v>High Risk</v>
      </c>
    </row>
    <row r="129" spans="1:9" x14ac:dyDescent="0.3">
      <c r="A129" t="s">
        <v>154</v>
      </c>
      <c r="B129" t="s">
        <v>25</v>
      </c>
      <c r="C129" t="s">
        <v>22</v>
      </c>
      <c r="D129">
        <v>9423</v>
      </c>
      <c r="E129">
        <v>83386</v>
      </c>
      <c r="F129" t="s">
        <v>19</v>
      </c>
      <c r="G129" t="str">
        <f t="shared" si="3"/>
        <v>Low</v>
      </c>
      <c r="H129" t="str">
        <f t="shared" si="4"/>
        <v>Other</v>
      </c>
      <c r="I129" t="str">
        <f t="shared" si="5"/>
        <v>Low Risk</v>
      </c>
    </row>
    <row r="130" spans="1:9" x14ac:dyDescent="0.3">
      <c r="A130" s="1" t="s">
        <v>155</v>
      </c>
      <c r="B130" s="1" t="s">
        <v>33</v>
      </c>
      <c r="C130" s="1" t="s">
        <v>22</v>
      </c>
      <c r="D130" s="1">
        <v>66747</v>
      </c>
      <c r="E130" s="1">
        <v>56420</v>
      </c>
      <c r="F130" s="1" t="s">
        <v>19</v>
      </c>
      <c r="G130" t="str">
        <f t="shared" si="3"/>
        <v>Medium</v>
      </c>
      <c r="H130" t="str">
        <f t="shared" si="4"/>
        <v>Other</v>
      </c>
      <c r="I130" t="str">
        <f t="shared" si="5"/>
        <v>Medium Risk</v>
      </c>
    </row>
    <row r="131" spans="1:9" x14ac:dyDescent="0.3">
      <c r="A131" t="s">
        <v>156</v>
      </c>
      <c r="B131" t="s">
        <v>17</v>
      </c>
      <c r="C131" t="s">
        <v>18</v>
      </c>
      <c r="D131">
        <v>83553</v>
      </c>
      <c r="E131">
        <v>71485</v>
      </c>
      <c r="F131" t="s">
        <v>23</v>
      </c>
      <c r="G131" t="str">
        <f t="shared" ref="G131:G194" si="6">IF(D131&gt;=80000,"High",IF(D131&gt;=40000,"Medium","Low"))</f>
        <v>High</v>
      </c>
      <c r="H131" t="str">
        <f t="shared" ref="H131:H194" si="7">IF(AND(D131&gt;=80000,F131="Approved"),"Approved High-Value","Other")</f>
        <v>Approved High-Value</v>
      </c>
      <c r="I131" t="str">
        <f t="shared" ref="I131:I194" si="8">IF(D131&gt;=80000,"High Risk",IF(D131&gt;=40000,"Medium Risk","Low Risk"))</f>
        <v>High Risk</v>
      </c>
    </row>
    <row r="132" spans="1:9" x14ac:dyDescent="0.3">
      <c r="A132" s="1" t="s">
        <v>157</v>
      </c>
      <c r="B132" s="1" t="s">
        <v>17</v>
      </c>
      <c r="C132" s="1" t="s">
        <v>18</v>
      </c>
      <c r="D132" s="1">
        <v>102505</v>
      </c>
      <c r="E132" s="1">
        <v>68064</v>
      </c>
      <c r="F132" s="1" t="s">
        <v>26</v>
      </c>
      <c r="G132" t="str">
        <f t="shared" si="6"/>
        <v>High</v>
      </c>
      <c r="H132" t="str">
        <f t="shared" si="7"/>
        <v>Other</v>
      </c>
      <c r="I132" t="str">
        <f t="shared" si="8"/>
        <v>High Risk</v>
      </c>
    </row>
    <row r="133" spans="1:9" x14ac:dyDescent="0.3">
      <c r="A133" t="s">
        <v>158</v>
      </c>
      <c r="B133" t="s">
        <v>17</v>
      </c>
      <c r="C133" t="s">
        <v>22</v>
      </c>
      <c r="D133">
        <v>89347</v>
      </c>
      <c r="E133">
        <v>70724</v>
      </c>
      <c r="F133" t="s">
        <v>19</v>
      </c>
      <c r="G133" t="str">
        <f t="shared" si="6"/>
        <v>High</v>
      </c>
      <c r="H133" t="str">
        <f t="shared" si="7"/>
        <v>Other</v>
      </c>
      <c r="I133" t="str">
        <f t="shared" si="8"/>
        <v>High Risk</v>
      </c>
    </row>
    <row r="134" spans="1:9" x14ac:dyDescent="0.3">
      <c r="A134" s="1" t="s">
        <v>159</v>
      </c>
      <c r="B134" s="1" t="s">
        <v>25</v>
      </c>
      <c r="C134" s="1" t="s">
        <v>30</v>
      </c>
      <c r="D134" s="1">
        <v>62917</v>
      </c>
      <c r="E134" s="1">
        <v>80062</v>
      </c>
      <c r="F134" s="1" t="s">
        <v>23</v>
      </c>
      <c r="G134" t="str">
        <f t="shared" si="6"/>
        <v>Medium</v>
      </c>
      <c r="H134" t="str">
        <f t="shared" si="7"/>
        <v>Other</v>
      </c>
      <c r="I134" t="str">
        <f t="shared" si="8"/>
        <v>Medium Risk</v>
      </c>
    </row>
    <row r="135" spans="1:9" x14ac:dyDescent="0.3">
      <c r="A135" t="s">
        <v>160</v>
      </c>
      <c r="B135" t="s">
        <v>25</v>
      </c>
      <c r="C135" t="s">
        <v>22</v>
      </c>
      <c r="D135">
        <v>56742</v>
      </c>
      <c r="E135">
        <v>87933</v>
      </c>
      <c r="F135" t="s">
        <v>23</v>
      </c>
      <c r="G135" t="str">
        <f t="shared" si="6"/>
        <v>Medium</v>
      </c>
      <c r="H135" t="str">
        <f t="shared" si="7"/>
        <v>Other</v>
      </c>
      <c r="I135" t="str">
        <f t="shared" si="8"/>
        <v>Medium Risk</v>
      </c>
    </row>
    <row r="136" spans="1:9" x14ac:dyDescent="0.3">
      <c r="A136" s="1" t="s">
        <v>161</v>
      </c>
      <c r="B136" s="1" t="s">
        <v>17</v>
      </c>
      <c r="C136" s="1" t="s">
        <v>18</v>
      </c>
      <c r="D136" s="1">
        <v>71790</v>
      </c>
      <c r="E136" s="1">
        <v>92730</v>
      </c>
      <c r="F136" s="1" t="s">
        <v>23</v>
      </c>
      <c r="G136" t="str">
        <f t="shared" si="6"/>
        <v>Medium</v>
      </c>
      <c r="H136" t="str">
        <f t="shared" si="7"/>
        <v>Other</v>
      </c>
      <c r="I136" t="str">
        <f t="shared" si="8"/>
        <v>Medium Risk</v>
      </c>
    </row>
    <row r="137" spans="1:9" x14ac:dyDescent="0.3">
      <c r="A137" t="s">
        <v>162</v>
      </c>
      <c r="B137" t="s">
        <v>33</v>
      </c>
      <c r="C137" t="s">
        <v>38</v>
      </c>
      <c r="D137">
        <v>40722</v>
      </c>
      <c r="E137">
        <v>91809</v>
      </c>
      <c r="F137" t="s">
        <v>26</v>
      </c>
      <c r="G137" t="str">
        <f t="shared" si="6"/>
        <v>Medium</v>
      </c>
      <c r="H137" t="str">
        <f t="shared" si="7"/>
        <v>Other</v>
      </c>
      <c r="I137" t="str">
        <f t="shared" si="8"/>
        <v>Medium Risk</v>
      </c>
    </row>
    <row r="138" spans="1:9" x14ac:dyDescent="0.3">
      <c r="A138" s="1" t="s">
        <v>163</v>
      </c>
      <c r="B138" s="1" t="s">
        <v>21</v>
      </c>
      <c r="C138" s="1" t="s">
        <v>38</v>
      </c>
      <c r="D138" s="1">
        <v>105915</v>
      </c>
      <c r="E138" s="1">
        <v>92299</v>
      </c>
      <c r="F138" s="1" t="s">
        <v>26</v>
      </c>
      <c r="G138" t="str">
        <f t="shared" si="6"/>
        <v>High</v>
      </c>
      <c r="H138" t="str">
        <f t="shared" si="7"/>
        <v>Other</v>
      </c>
      <c r="I138" t="str">
        <f t="shared" si="8"/>
        <v>High Risk</v>
      </c>
    </row>
    <row r="139" spans="1:9" x14ac:dyDescent="0.3">
      <c r="A139" t="s">
        <v>164</v>
      </c>
      <c r="B139" t="s">
        <v>33</v>
      </c>
      <c r="C139" t="s">
        <v>18</v>
      </c>
      <c r="D139">
        <v>89979</v>
      </c>
      <c r="E139">
        <v>60636</v>
      </c>
      <c r="F139" t="s">
        <v>23</v>
      </c>
      <c r="G139" t="str">
        <f t="shared" si="6"/>
        <v>High</v>
      </c>
      <c r="H139" t="str">
        <f t="shared" si="7"/>
        <v>Approved High-Value</v>
      </c>
      <c r="I139" t="str">
        <f t="shared" si="8"/>
        <v>High Risk</v>
      </c>
    </row>
    <row r="140" spans="1:9" x14ac:dyDescent="0.3">
      <c r="A140" s="1" t="s">
        <v>165</v>
      </c>
      <c r="B140" s="1" t="s">
        <v>33</v>
      </c>
      <c r="C140" s="1" t="s">
        <v>38</v>
      </c>
      <c r="D140" s="1">
        <v>24762</v>
      </c>
      <c r="E140" s="1">
        <v>74127</v>
      </c>
      <c r="F140" s="1" t="s">
        <v>19</v>
      </c>
      <c r="G140" t="str">
        <f t="shared" si="6"/>
        <v>Low</v>
      </c>
      <c r="H140" t="str">
        <f t="shared" si="7"/>
        <v>Other</v>
      </c>
      <c r="I140" t="str">
        <f t="shared" si="8"/>
        <v>Low Risk</v>
      </c>
    </row>
    <row r="141" spans="1:9" x14ac:dyDescent="0.3">
      <c r="A141" t="s">
        <v>166</v>
      </c>
      <c r="B141" t="s">
        <v>25</v>
      </c>
      <c r="C141" t="s">
        <v>38</v>
      </c>
      <c r="D141">
        <v>88972</v>
      </c>
      <c r="E141">
        <v>56283</v>
      </c>
      <c r="F141" t="s">
        <v>19</v>
      </c>
      <c r="G141" t="str">
        <f t="shared" si="6"/>
        <v>High</v>
      </c>
      <c r="H141" t="str">
        <f t="shared" si="7"/>
        <v>Other</v>
      </c>
      <c r="I141" t="str">
        <f t="shared" si="8"/>
        <v>High Risk</v>
      </c>
    </row>
    <row r="142" spans="1:9" x14ac:dyDescent="0.3">
      <c r="A142" s="1" t="s">
        <v>167</v>
      </c>
      <c r="B142" s="1" t="s">
        <v>25</v>
      </c>
      <c r="C142" s="1" t="s">
        <v>18</v>
      </c>
      <c r="D142" s="1">
        <v>43963</v>
      </c>
      <c r="E142" s="1">
        <v>53905</v>
      </c>
      <c r="F142" s="1" t="s">
        <v>19</v>
      </c>
      <c r="G142" t="str">
        <f t="shared" si="6"/>
        <v>Medium</v>
      </c>
      <c r="H142" t="str">
        <f t="shared" si="7"/>
        <v>Other</v>
      </c>
      <c r="I142" t="str">
        <f t="shared" si="8"/>
        <v>Medium Risk</v>
      </c>
    </row>
    <row r="143" spans="1:9" x14ac:dyDescent="0.3">
      <c r="A143" t="s">
        <v>168</v>
      </c>
      <c r="B143" t="s">
        <v>25</v>
      </c>
      <c r="C143" t="s">
        <v>38</v>
      </c>
      <c r="D143">
        <v>47331</v>
      </c>
      <c r="E143">
        <v>73072</v>
      </c>
      <c r="F143" t="s">
        <v>23</v>
      </c>
      <c r="G143" t="str">
        <f t="shared" si="6"/>
        <v>Medium</v>
      </c>
      <c r="H143" t="str">
        <f t="shared" si="7"/>
        <v>Other</v>
      </c>
      <c r="I143" t="str">
        <f t="shared" si="8"/>
        <v>Medium Risk</v>
      </c>
    </row>
    <row r="144" spans="1:9" x14ac:dyDescent="0.3">
      <c r="A144" s="1" t="s">
        <v>169</v>
      </c>
      <c r="B144" s="1" t="s">
        <v>25</v>
      </c>
      <c r="C144" s="1" t="s">
        <v>30</v>
      </c>
      <c r="D144" s="1">
        <v>108153</v>
      </c>
      <c r="E144" s="1">
        <v>90032</v>
      </c>
      <c r="F144" s="1" t="s">
        <v>19</v>
      </c>
      <c r="G144" t="str">
        <f t="shared" si="6"/>
        <v>High</v>
      </c>
      <c r="H144" t="str">
        <f t="shared" si="7"/>
        <v>Other</v>
      </c>
      <c r="I144" t="str">
        <f t="shared" si="8"/>
        <v>High Risk</v>
      </c>
    </row>
    <row r="145" spans="1:9" x14ac:dyDescent="0.3">
      <c r="A145" t="s">
        <v>170</v>
      </c>
      <c r="B145" t="s">
        <v>21</v>
      </c>
      <c r="C145" t="s">
        <v>22</v>
      </c>
      <c r="D145">
        <v>104301</v>
      </c>
      <c r="E145">
        <v>69353</v>
      </c>
      <c r="F145" t="s">
        <v>19</v>
      </c>
      <c r="G145" t="str">
        <f t="shared" si="6"/>
        <v>High</v>
      </c>
      <c r="H145" t="str">
        <f t="shared" si="7"/>
        <v>Other</v>
      </c>
      <c r="I145" t="str">
        <f t="shared" si="8"/>
        <v>High Risk</v>
      </c>
    </row>
    <row r="146" spans="1:9" x14ac:dyDescent="0.3">
      <c r="A146" s="1" t="s">
        <v>171</v>
      </c>
      <c r="B146" s="1" t="s">
        <v>17</v>
      </c>
      <c r="C146" s="1" t="s">
        <v>18</v>
      </c>
      <c r="D146" s="1">
        <v>47339</v>
      </c>
      <c r="E146" s="1">
        <v>54035</v>
      </c>
      <c r="F146" s="1" t="s">
        <v>19</v>
      </c>
      <c r="G146" t="str">
        <f t="shared" si="6"/>
        <v>Medium</v>
      </c>
      <c r="H146" t="str">
        <f t="shared" si="7"/>
        <v>Other</v>
      </c>
      <c r="I146" t="str">
        <f t="shared" si="8"/>
        <v>Medium Risk</v>
      </c>
    </row>
    <row r="147" spans="1:9" x14ac:dyDescent="0.3">
      <c r="A147" t="s">
        <v>172</v>
      </c>
      <c r="B147" t="s">
        <v>21</v>
      </c>
      <c r="C147" t="s">
        <v>22</v>
      </c>
      <c r="D147">
        <v>59015</v>
      </c>
      <c r="E147">
        <v>80089</v>
      </c>
      <c r="F147" t="s">
        <v>26</v>
      </c>
      <c r="G147" t="str">
        <f t="shared" si="6"/>
        <v>Medium</v>
      </c>
      <c r="H147" t="str">
        <f t="shared" si="7"/>
        <v>Other</v>
      </c>
      <c r="I147" t="str">
        <f t="shared" si="8"/>
        <v>Medium Risk</v>
      </c>
    </row>
    <row r="148" spans="1:9" x14ac:dyDescent="0.3">
      <c r="A148" s="1" t="s">
        <v>173</v>
      </c>
      <c r="B148" s="1" t="s">
        <v>33</v>
      </c>
      <c r="C148" s="1" t="s">
        <v>22</v>
      </c>
      <c r="D148" s="1">
        <v>73641</v>
      </c>
      <c r="E148" s="1">
        <v>59027</v>
      </c>
      <c r="F148" s="1" t="s">
        <v>19</v>
      </c>
      <c r="G148" t="str">
        <f t="shared" si="6"/>
        <v>Medium</v>
      </c>
      <c r="H148" t="str">
        <f t="shared" si="7"/>
        <v>Other</v>
      </c>
      <c r="I148" t="str">
        <f t="shared" si="8"/>
        <v>Medium Risk</v>
      </c>
    </row>
    <row r="149" spans="1:9" x14ac:dyDescent="0.3">
      <c r="A149" t="s">
        <v>174</v>
      </c>
      <c r="B149" t="s">
        <v>17</v>
      </c>
      <c r="C149" t="s">
        <v>30</v>
      </c>
      <c r="D149">
        <v>20383</v>
      </c>
      <c r="E149">
        <v>56501</v>
      </c>
      <c r="F149" t="s">
        <v>19</v>
      </c>
      <c r="G149" t="str">
        <f t="shared" si="6"/>
        <v>Low</v>
      </c>
      <c r="H149" t="str">
        <f t="shared" si="7"/>
        <v>Other</v>
      </c>
      <c r="I149" t="str">
        <f t="shared" si="8"/>
        <v>Low Risk</v>
      </c>
    </row>
    <row r="150" spans="1:9" x14ac:dyDescent="0.3">
      <c r="A150" s="1" t="s">
        <v>175</v>
      </c>
      <c r="B150" s="1" t="s">
        <v>33</v>
      </c>
      <c r="C150" s="1" t="s">
        <v>18</v>
      </c>
      <c r="D150" s="1">
        <v>60202</v>
      </c>
      <c r="E150" s="1">
        <v>84564</v>
      </c>
      <c r="F150" s="1" t="s">
        <v>19</v>
      </c>
      <c r="G150" t="str">
        <f t="shared" si="6"/>
        <v>Medium</v>
      </c>
      <c r="H150" t="str">
        <f t="shared" si="7"/>
        <v>Other</v>
      </c>
      <c r="I150" t="str">
        <f t="shared" si="8"/>
        <v>Medium Risk</v>
      </c>
    </row>
    <row r="151" spans="1:9" x14ac:dyDescent="0.3">
      <c r="A151" t="s">
        <v>176</v>
      </c>
      <c r="B151" t="s">
        <v>21</v>
      </c>
      <c r="C151" t="s">
        <v>22</v>
      </c>
      <c r="D151">
        <v>9785</v>
      </c>
      <c r="E151">
        <v>80999</v>
      </c>
      <c r="F151" t="s">
        <v>26</v>
      </c>
      <c r="G151" t="str">
        <f t="shared" si="6"/>
        <v>Low</v>
      </c>
      <c r="H151" t="str">
        <f t="shared" si="7"/>
        <v>Other</v>
      </c>
      <c r="I151" t="str">
        <f t="shared" si="8"/>
        <v>Low Risk</v>
      </c>
    </row>
    <row r="152" spans="1:9" x14ac:dyDescent="0.3">
      <c r="A152" s="1" t="s">
        <v>177</v>
      </c>
      <c r="B152" s="1" t="s">
        <v>21</v>
      </c>
      <c r="C152" s="1" t="s">
        <v>22</v>
      </c>
      <c r="D152" s="1">
        <v>39455</v>
      </c>
      <c r="E152" s="1">
        <v>61229</v>
      </c>
      <c r="F152" s="1" t="s">
        <v>23</v>
      </c>
      <c r="G152" t="str">
        <f t="shared" si="6"/>
        <v>Low</v>
      </c>
      <c r="H152" t="str">
        <f t="shared" si="7"/>
        <v>Other</v>
      </c>
      <c r="I152" t="str">
        <f t="shared" si="8"/>
        <v>Low Risk</v>
      </c>
    </row>
    <row r="153" spans="1:9" x14ac:dyDescent="0.3">
      <c r="A153" t="s">
        <v>178</v>
      </c>
      <c r="B153" t="s">
        <v>25</v>
      </c>
      <c r="C153" t="s">
        <v>30</v>
      </c>
      <c r="D153">
        <v>80110</v>
      </c>
      <c r="E153">
        <v>55363</v>
      </c>
      <c r="F153" t="s">
        <v>26</v>
      </c>
      <c r="G153" t="str">
        <f t="shared" si="6"/>
        <v>High</v>
      </c>
      <c r="H153" t="str">
        <f t="shared" si="7"/>
        <v>Other</v>
      </c>
      <c r="I153" t="str">
        <f t="shared" si="8"/>
        <v>High Risk</v>
      </c>
    </row>
    <row r="154" spans="1:9" x14ac:dyDescent="0.3">
      <c r="A154" s="1" t="s">
        <v>179</v>
      </c>
      <c r="B154" s="1" t="s">
        <v>33</v>
      </c>
      <c r="C154" s="1" t="s">
        <v>18</v>
      </c>
      <c r="D154" s="1">
        <v>77433</v>
      </c>
      <c r="E154" s="1">
        <v>54024</v>
      </c>
      <c r="F154" s="1" t="s">
        <v>26</v>
      </c>
      <c r="G154" t="str">
        <f t="shared" si="6"/>
        <v>Medium</v>
      </c>
      <c r="H154" t="str">
        <f t="shared" si="7"/>
        <v>Other</v>
      </c>
      <c r="I154" t="str">
        <f t="shared" si="8"/>
        <v>Medium Risk</v>
      </c>
    </row>
    <row r="155" spans="1:9" x14ac:dyDescent="0.3">
      <c r="A155" t="s">
        <v>180</v>
      </c>
      <c r="B155" t="s">
        <v>33</v>
      </c>
      <c r="C155" t="s">
        <v>22</v>
      </c>
      <c r="D155">
        <v>105080</v>
      </c>
      <c r="E155">
        <v>96377</v>
      </c>
      <c r="F155" t="s">
        <v>23</v>
      </c>
      <c r="G155" t="str">
        <f t="shared" si="6"/>
        <v>High</v>
      </c>
      <c r="H155" t="str">
        <f t="shared" si="7"/>
        <v>Approved High-Value</v>
      </c>
      <c r="I155" t="str">
        <f t="shared" si="8"/>
        <v>High Risk</v>
      </c>
    </row>
    <row r="156" spans="1:9" x14ac:dyDescent="0.3">
      <c r="A156" s="1" t="s">
        <v>181</v>
      </c>
      <c r="B156" s="1" t="s">
        <v>25</v>
      </c>
      <c r="C156" s="1" t="s">
        <v>30</v>
      </c>
      <c r="D156" s="1">
        <v>76823</v>
      </c>
      <c r="E156" s="1">
        <v>80459</v>
      </c>
      <c r="F156" s="1" t="s">
        <v>23</v>
      </c>
      <c r="G156" t="str">
        <f t="shared" si="6"/>
        <v>Medium</v>
      </c>
      <c r="H156" t="str">
        <f t="shared" si="7"/>
        <v>Other</v>
      </c>
      <c r="I156" t="str">
        <f t="shared" si="8"/>
        <v>Medium Risk</v>
      </c>
    </row>
    <row r="157" spans="1:9" x14ac:dyDescent="0.3">
      <c r="A157" t="s">
        <v>182</v>
      </c>
      <c r="B157" t="s">
        <v>25</v>
      </c>
      <c r="C157" t="s">
        <v>18</v>
      </c>
      <c r="D157">
        <v>99194</v>
      </c>
      <c r="E157">
        <v>80355</v>
      </c>
      <c r="F157" t="s">
        <v>26</v>
      </c>
      <c r="G157" t="str">
        <f t="shared" si="6"/>
        <v>High</v>
      </c>
      <c r="H157" t="str">
        <f t="shared" si="7"/>
        <v>Other</v>
      </c>
      <c r="I157" t="str">
        <f t="shared" si="8"/>
        <v>High Risk</v>
      </c>
    </row>
    <row r="158" spans="1:9" x14ac:dyDescent="0.3">
      <c r="A158" s="1" t="s">
        <v>183</v>
      </c>
      <c r="B158" s="1" t="s">
        <v>21</v>
      </c>
      <c r="C158" s="1" t="s">
        <v>18</v>
      </c>
      <c r="D158" s="1">
        <v>85486</v>
      </c>
      <c r="E158" s="1">
        <v>66755</v>
      </c>
      <c r="F158" s="1" t="s">
        <v>19</v>
      </c>
      <c r="G158" t="str">
        <f t="shared" si="6"/>
        <v>High</v>
      </c>
      <c r="H158" t="str">
        <f t="shared" si="7"/>
        <v>Other</v>
      </c>
      <c r="I158" t="str">
        <f t="shared" si="8"/>
        <v>High Risk</v>
      </c>
    </row>
    <row r="159" spans="1:9" x14ac:dyDescent="0.3">
      <c r="A159" t="s">
        <v>184</v>
      </c>
      <c r="B159" t="s">
        <v>25</v>
      </c>
      <c r="C159" t="s">
        <v>38</v>
      </c>
      <c r="D159">
        <v>74185</v>
      </c>
      <c r="E159">
        <v>69426</v>
      </c>
      <c r="F159" t="s">
        <v>19</v>
      </c>
      <c r="G159" t="str">
        <f t="shared" si="6"/>
        <v>Medium</v>
      </c>
      <c r="H159" t="str">
        <f t="shared" si="7"/>
        <v>Other</v>
      </c>
      <c r="I159" t="str">
        <f t="shared" si="8"/>
        <v>Medium Risk</v>
      </c>
    </row>
    <row r="160" spans="1:9" x14ac:dyDescent="0.3">
      <c r="A160" s="1" t="s">
        <v>185</v>
      </c>
      <c r="B160" s="1" t="s">
        <v>21</v>
      </c>
      <c r="C160" s="1" t="s">
        <v>22</v>
      </c>
      <c r="D160" s="1">
        <v>99287</v>
      </c>
      <c r="E160" s="1">
        <v>87958</v>
      </c>
      <c r="F160" s="1" t="s">
        <v>26</v>
      </c>
      <c r="G160" t="str">
        <f t="shared" si="6"/>
        <v>High</v>
      </c>
      <c r="H160" t="str">
        <f t="shared" si="7"/>
        <v>Other</v>
      </c>
      <c r="I160" t="str">
        <f t="shared" si="8"/>
        <v>High Risk</v>
      </c>
    </row>
    <row r="161" spans="1:9" x14ac:dyDescent="0.3">
      <c r="A161" t="s">
        <v>186</v>
      </c>
      <c r="B161" t="s">
        <v>25</v>
      </c>
      <c r="C161" t="s">
        <v>22</v>
      </c>
      <c r="D161">
        <v>108271</v>
      </c>
      <c r="E161">
        <v>58105</v>
      </c>
      <c r="F161" t="s">
        <v>19</v>
      </c>
      <c r="G161" t="str">
        <f t="shared" si="6"/>
        <v>High</v>
      </c>
      <c r="H161" t="str">
        <f t="shared" si="7"/>
        <v>Other</v>
      </c>
      <c r="I161" t="str">
        <f t="shared" si="8"/>
        <v>High Risk</v>
      </c>
    </row>
    <row r="162" spans="1:9" x14ac:dyDescent="0.3">
      <c r="A162" s="1" t="s">
        <v>187</v>
      </c>
      <c r="B162" s="1" t="s">
        <v>17</v>
      </c>
      <c r="C162" s="1" t="s">
        <v>18</v>
      </c>
      <c r="D162" s="1">
        <v>114582</v>
      </c>
      <c r="E162" s="1">
        <v>57781</v>
      </c>
      <c r="F162" s="1" t="s">
        <v>26</v>
      </c>
      <c r="G162" t="str">
        <f t="shared" si="6"/>
        <v>High</v>
      </c>
      <c r="H162" t="str">
        <f t="shared" si="7"/>
        <v>Other</v>
      </c>
      <c r="I162" t="str">
        <f t="shared" si="8"/>
        <v>High Risk</v>
      </c>
    </row>
    <row r="163" spans="1:9" x14ac:dyDescent="0.3">
      <c r="A163" t="s">
        <v>188</v>
      </c>
      <c r="B163" t="s">
        <v>33</v>
      </c>
      <c r="C163" t="s">
        <v>22</v>
      </c>
      <c r="D163">
        <v>66164</v>
      </c>
      <c r="E163">
        <v>89350</v>
      </c>
      <c r="F163" t="s">
        <v>19</v>
      </c>
      <c r="G163" t="str">
        <f t="shared" si="6"/>
        <v>Medium</v>
      </c>
      <c r="H163" t="str">
        <f t="shared" si="7"/>
        <v>Other</v>
      </c>
      <c r="I163" t="str">
        <f t="shared" si="8"/>
        <v>Medium Risk</v>
      </c>
    </row>
    <row r="164" spans="1:9" x14ac:dyDescent="0.3">
      <c r="A164" s="1" t="s">
        <v>189</v>
      </c>
      <c r="B164" s="1" t="s">
        <v>21</v>
      </c>
      <c r="C164" s="1" t="s">
        <v>38</v>
      </c>
      <c r="D164" s="1">
        <v>61881</v>
      </c>
      <c r="E164" s="1">
        <v>65386</v>
      </c>
      <c r="F164" s="1" t="s">
        <v>19</v>
      </c>
      <c r="G164" t="str">
        <f t="shared" si="6"/>
        <v>Medium</v>
      </c>
      <c r="H164" t="str">
        <f t="shared" si="7"/>
        <v>Other</v>
      </c>
      <c r="I164" t="str">
        <f t="shared" si="8"/>
        <v>Medium Risk</v>
      </c>
    </row>
    <row r="165" spans="1:9" x14ac:dyDescent="0.3">
      <c r="A165" t="s">
        <v>190</v>
      </c>
      <c r="B165" t="s">
        <v>21</v>
      </c>
      <c r="C165" t="s">
        <v>30</v>
      </c>
      <c r="D165">
        <v>79958</v>
      </c>
      <c r="E165">
        <v>61326</v>
      </c>
      <c r="F165" t="s">
        <v>23</v>
      </c>
      <c r="G165" t="str">
        <f t="shared" si="6"/>
        <v>Medium</v>
      </c>
      <c r="H165" t="str">
        <f t="shared" si="7"/>
        <v>Other</v>
      </c>
      <c r="I165" t="str">
        <f t="shared" si="8"/>
        <v>Medium Risk</v>
      </c>
    </row>
    <row r="166" spans="1:9" x14ac:dyDescent="0.3">
      <c r="A166" s="1" t="s">
        <v>191</v>
      </c>
      <c r="B166" s="1" t="s">
        <v>21</v>
      </c>
      <c r="C166" s="1" t="s">
        <v>22</v>
      </c>
      <c r="D166" s="1">
        <v>3760</v>
      </c>
      <c r="E166" s="1">
        <v>54112</v>
      </c>
      <c r="F166" s="1" t="s">
        <v>23</v>
      </c>
      <c r="G166" t="str">
        <f t="shared" si="6"/>
        <v>Low</v>
      </c>
      <c r="H166" t="str">
        <f t="shared" si="7"/>
        <v>Other</v>
      </c>
      <c r="I166" t="str">
        <f t="shared" si="8"/>
        <v>Low Risk</v>
      </c>
    </row>
    <row r="167" spans="1:9" x14ac:dyDescent="0.3">
      <c r="A167" t="s">
        <v>192</v>
      </c>
      <c r="B167" t="s">
        <v>17</v>
      </c>
      <c r="C167" t="s">
        <v>18</v>
      </c>
      <c r="D167">
        <v>88895</v>
      </c>
      <c r="E167">
        <v>90171</v>
      </c>
      <c r="F167" t="s">
        <v>26</v>
      </c>
      <c r="G167" t="str">
        <f t="shared" si="6"/>
        <v>High</v>
      </c>
      <c r="H167" t="str">
        <f t="shared" si="7"/>
        <v>Other</v>
      </c>
      <c r="I167" t="str">
        <f t="shared" si="8"/>
        <v>High Risk</v>
      </c>
    </row>
    <row r="168" spans="1:9" x14ac:dyDescent="0.3">
      <c r="A168" s="1" t="s">
        <v>193</v>
      </c>
      <c r="B168" s="1" t="s">
        <v>33</v>
      </c>
      <c r="C168" s="1" t="s">
        <v>18</v>
      </c>
      <c r="D168" s="1">
        <v>38055</v>
      </c>
      <c r="E168" s="1">
        <v>91093</v>
      </c>
      <c r="F168" s="1" t="s">
        <v>19</v>
      </c>
      <c r="G168" t="str">
        <f t="shared" si="6"/>
        <v>Low</v>
      </c>
      <c r="H168" t="str">
        <f t="shared" si="7"/>
        <v>Other</v>
      </c>
      <c r="I168" t="str">
        <f t="shared" si="8"/>
        <v>Low Risk</v>
      </c>
    </row>
    <row r="169" spans="1:9" x14ac:dyDescent="0.3">
      <c r="A169" t="s">
        <v>194</v>
      </c>
      <c r="B169" t="s">
        <v>17</v>
      </c>
      <c r="C169" t="s">
        <v>18</v>
      </c>
      <c r="D169">
        <v>75167</v>
      </c>
      <c r="E169">
        <v>89557</v>
      </c>
      <c r="F169" t="s">
        <v>23</v>
      </c>
      <c r="G169" t="str">
        <f t="shared" si="6"/>
        <v>Medium</v>
      </c>
      <c r="H169" t="str">
        <f t="shared" si="7"/>
        <v>Other</v>
      </c>
      <c r="I169" t="str">
        <f t="shared" si="8"/>
        <v>Medium Risk</v>
      </c>
    </row>
    <row r="170" spans="1:9" x14ac:dyDescent="0.3">
      <c r="A170" s="1" t="s">
        <v>195</v>
      </c>
      <c r="B170" s="1" t="s">
        <v>25</v>
      </c>
      <c r="C170" s="1" t="s">
        <v>38</v>
      </c>
      <c r="D170" s="1">
        <v>26461</v>
      </c>
      <c r="E170" s="1">
        <v>90570</v>
      </c>
      <c r="F170" s="1" t="s">
        <v>23</v>
      </c>
      <c r="G170" t="str">
        <f t="shared" si="6"/>
        <v>Low</v>
      </c>
      <c r="H170" t="str">
        <f t="shared" si="7"/>
        <v>Other</v>
      </c>
      <c r="I170" t="str">
        <f t="shared" si="8"/>
        <v>Low Risk</v>
      </c>
    </row>
    <row r="171" spans="1:9" x14ac:dyDescent="0.3">
      <c r="A171" t="s">
        <v>196</v>
      </c>
      <c r="B171" t="s">
        <v>17</v>
      </c>
      <c r="C171" t="s">
        <v>22</v>
      </c>
      <c r="D171">
        <v>22249</v>
      </c>
      <c r="E171">
        <v>73591</v>
      </c>
      <c r="F171" t="s">
        <v>26</v>
      </c>
      <c r="G171" t="str">
        <f t="shared" si="6"/>
        <v>Low</v>
      </c>
      <c r="H171" t="str">
        <f t="shared" si="7"/>
        <v>Other</v>
      </c>
      <c r="I171" t="str">
        <f t="shared" si="8"/>
        <v>Low Risk</v>
      </c>
    </row>
    <row r="172" spans="1:9" x14ac:dyDescent="0.3">
      <c r="A172" s="1" t="s">
        <v>197</v>
      </c>
      <c r="B172" s="1" t="s">
        <v>17</v>
      </c>
      <c r="C172" s="1" t="s">
        <v>30</v>
      </c>
      <c r="D172" s="1">
        <v>21862</v>
      </c>
      <c r="E172" s="1">
        <v>88223</v>
      </c>
      <c r="F172" s="1" t="s">
        <v>19</v>
      </c>
      <c r="G172" t="str">
        <f t="shared" si="6"/>
        <v>Low</v>
      </c>
      <c r="H172" t="str">
        <f t="shared" si="7"/>
        <v>Other</v>
      </c>
      <c r="I172" t="str">
        <f t="shared" si="8"/>
        <v>Low Risk</v>
      </c>
    </row>
    <row r="173" spans="1:9" x14ac:dyDescent="0.3">
      <c r="A173" t="s">
        <v>198</v>
      </c>
      <c r="B173" t="s">
        <v>17</v>
      </c>
      <c r="C173" t="s">
        <v>30</v>
      </c>
      <c r="D173">
        <v>21927</v>
      </c>
      <c r="E173">
        <v>72922</v>
      </c>
      <c r="F173" t="s">
        <v>26</v>
      </c>
      <c r="G173" t="str">
        <f t="shared" si="6"/>
        <v>Low</v>
      </c>
      <c r="H173" t="str">
        <f t="shared" si="7"/>
        <v>Other</v>
      </c>
      <c r="I173" t="str">
        <f t="shared" si="8"/>
        <v>Low Risk</v>
      </c>
    </row>
    <row r="174" spans="1:9" x14ac:dyDescent="0.3">
      <c r="A174" s="1" t="s">
        <v>199</v>
      </c>
      <c r="B174" s="1" t="s">
        <v>17</v>
      </c>
      <c r="C174" s="1" t="s">
        <v>18</v>
      </c>
      <c r="D174" s="1">
        <v>18601</v>
      </c>
      <c r="E174" s="1">
        <v>84116</v>
      </c>
      <c r="F174" s="1" t="s">
        <v>26</v>
      </c>
      <c r="G174" t="str">
        <f t="shared" si="6"/>
        <v>Low</v>
      </c>
      <c r="H174" t="str">
        <f t="shared" si="7"/>
        <v>Other</v>
      </c>
      <c r="I174" t="str">
        <f t="shared" si="8"/>
        <v>Low Risk</v>
      </c>
    </row>
    <row r="175" spans="1:9" x14ac:dyDescent="0.3">
      <c r="A175" t="s">
        <v>200</v>
      </c>
      <c r="B175" t="s">
        <v>25</v>
      </c>
      <c r="C175" t="s">
        <v>22</v>
      </c>
      <c r="D175">
        <v>36335</v>
      </c>
      <c r="E175">
        <v>93139</v>
      </c>
      <c r="F175" t="s">
        <v>23</v>
      </c>
      <c r="G175" t="str">
        <f t="shared" si="6"/>
        <v>Low</v>
      </c>
      <c r="H175" t="str">
        <f t="shared" si="7"/>
        <v>Other</v>
      </c>
      <c r="I175" t="str">
        <f t="shared" si="8"/>
        <v>Low Risk</v>
      </c>
    </row>
    <row r="176" spans="1:9" x14ac:dyDescent="0.3">
      <c r="A176" s="1" t="s">
        <v>201</v>
      </c>
      <c r="B176" s="1" t="s">
        <v>25</v>
      </c>
      <c r="C176" s="1" t="s">
        <v>18</v>
      </c>
      <c r="D176" s="1">
        <v>21019</v>
      </c>
      <c r="E176" s="1">
        <v>73062</v>
      </c>
      <c r="F176" s="1" t="s">
        <v>26</v>
      </c>
      <c r="G176" t="str">
        <f t="shared" si="6"/>
        <v>Low</v>
      </c>
      <c r="H176" t="str">
        <f t="shared" si="7"/>
        <v>Other</v>
      </c>
      <c r="I176" t="str">
        <f t="shared" si="8"/>
        <v>Low Risk</v>
      </c>
    </row>
    <row r="177" spans="1:9" x14ac:dyDescent="0.3">
      <c r="A177" t="s">
        <v>202</v>
      </c>
      <c r="B177" t="s">
        <v>25</v>
      </c>
      <c r="C177" t="s">
        <v>22</v>
      </c>
      <c r="D177">
        <v>118018</v>
      </c>
      <c r="E177">
        <v>64226</v>
      </c>
      <c r="F177" t="s">
        <v>19</v>
      </c>
      <c r="G177" t="str">
        <f t="shared" si="6"/>
        <v>High</v>
      </c>
      <c r="H177" t="str">
        <f t="shared" si="7"/>
        <v>Other</v>
      </c>
      <c r="I177" t="str">
        <f t="shared" si="8"/>
        <v>High Risk</v>
      </c>
    </row>
    <row r="178" spans="1:9" x14ac:dyDescent="0.3">
      <c r="A178" s="1" t="s">
        <v>203</v>
      </c>
      <c r="B178" s="1" t="s">
        <v>21</v>
      </c>
      <c r="C178" s="1" t="s">
        <v>30</v>
      </c>
      <c r="D178" s="1">
        <v>10144</v>
      </c>
      <c r="E178" s="1">
        <v>55004</v>
      </c>
      <c r="F178" s="1" t="s">
        <v>23</v>
      </c>
      <c r="G178" t="str">
        <f t="shared" si="6"/>
        <v>Low</v>
      </c>
      <c r="H178" t="str">
        <f t="shared" si="7"/>
        <v>Other</v>
      </c>
      <c r="I178" t="str">
        <f t="shared" si="8"/>
        <v>Low Risk</v>
      </c>
    </row>
    <row r="179" spans="1:9" x14ac:dyDescent="0.3">
      <c r="A179" t="s">
        <v>204</v>
      </c>
      <c r="B179" t="s">
        <v>21</v>
      </c>
      <c r="C179" t="s">
        <v>18</v>
      </c>
      <c r="D179">
        <v>60187</v>
      </c>
      <c r="E179">
        <v>53662</v>
      </c>
      <c r="F179" t="s">
        <v>19</v>
      </c>
      <c r="G179" t="str">
        <f t="shared" si="6"/>
        <v>Medium</v>
      </c>
      <c r="H179" t="str">
        <f t="shared" si="7"/>
        <v>Other</v>
      </c>
      <c r="I179" t="str">
        <f t="shared" si="8"/>
        <v>Medium Risk</v>
      </c>
    </row>
    <row r="180" spans="1:9" x14ac:dyDescent="0.3">
      <c r="A180" s="1" t="s">
        <v>205</v>
      </c>
      <c r="B180" s="1" t="s">
        <v>25</v>
      </c>
      <c r="C180" s="1" t="s">
        <v>18</v>
      </c>
      <c r="D180" s="1">
        <v>70244</v>
      </c>
      <c r="E180" s="1">
        <v>97120</v>
      </c>
      <c r="F180" s="1" t="s">
        <v>19</v>
      </c>
      <c r="G180" t="str">
        <f t="shared" si="6"/>
        <v>Medium</v>
      </c>
      <c r="H180" t="str">
        <f t="shared" si="7"/>
        <v>Other</v>
      </c>
      <c r="I180" t="str">
        <f t="shared" si="8"/>
        <v>Medium Risk</v>
      </c>
    </row>
    <row r="181" spans="1:9" x14ac:dyDescent="0.3">
      <c r="A181" t="s">
        <v>206</v>
      </c>
      <c r="B181" t="s">
        <v>33</v>
      </c>
      <c r="C181" t="s">
        <v>22</v>
      </c>
      <c r="D181">
        <v>119937</v>
      </c>
      <c r="E181">
        <v>59010</v>
      </c>
      <c r="F181" t="s">
        <v>26</v>
      </c>
      <c r="G181" t="str">
        <f t="shared" si="6"/>
        <v>High</v>
      </c>
      <c r="H181" t="str">
        <f t="shared" si="7"/>
        <v>Other</v>
      </c>
      <c r="I181" t="str">
        <f t="shared" si="8"/>
        <v>High Risk</v>
      </c>
    </row>
    <row r="182" spans="1:9" x14ac:dyDescent="0.3">
      <c r="A182" s="1" t="s">
        <v>207</v>
      </c>
      <c r="B182" s="1" t="s">
        <v>33</v>
      </c>
      <c r="C182" s="1" t="s">
        <v>38</v>
      </c>
      <c r="D182" s="1">
        <v>51460</v>
      </c>
      <c r="E182" s="1">
        <v>66921</v>
      </c>
      <c r="F182" s="1" t="s">
        <v>26</v>
      </c>
      <c r="G182" t="str">
        <f t="shared" si="6"/>
        <v>Medium</v>
      </c>
      <c r="H182" t="str">
        <f t="shared" si="7"/>
        <v>Other</v>
      </c>
      <c r="I182" t="str">
        <f t="shared" si="8"/>
        <v>Medium Risk</v>
      </c>
    </row>
    <row r="183" spans="1:9" x14ac:dyDescent="0.3">
      <c r="A183" t="s">
        <v>208</v>
      </c>
      <c r="B183" t="s">
        <v>25</v>
      </c>
      <c r="C183" t="s">
        <v>30</v>
      </c>
      <c r="D183">
        <v>78747</v>
      </c>
      <c r="E183">
        <v>86076</v>
      </c>
      <c r="F183" t="s">
        <v>26</v>
      </c>
      <c r="G183" t="str">
        <f t="shared" si="6"/>
        <v>Medium</v>
      </c>
      <c r="H183" t="str">
        <f t="shared" si="7"/>
        <v>Other</v>
      </c>
      <c r="I183" t="str">
        <f t="shared" si="8"/>
        <v>Medium Risk</v>
      </c>
    </row>
    <row r="184" spans="1:9" x14ac:dyDescent="0.3">
      <c r="A184" s="1" t="s">
        <v>209</v>
      </c>
      <c r="B184" s="1" t="s">
        <v>33</v>
      </c>
      <c r="C184" s="1" t="s">
        <v>22</v>
      </c>
      <c r="D184" s="1">
        <v>63016</v>
      </c>
      <c r="E184" s="1">
        <v>80047</v>
      </c>
      <c r="F184" s="1" t="s">
        <v>23</v>
      </c>
      <c r="G184" t="str">
        <f t="shared" si="6"/>
        <v>Medium</v>
      </c>
      <c r="H184" t="str">
        <f t="shared" si="7"/>
        <v>Other</v>
      </c>
      <c r="I184" t="str">
        <f t="shared" si="8"/>
        <v>Medium Risk</v>
      </c>
    </row>
    <row r="185" spans="1:9" x14ac:dyDescent="0.3">
      <c r="A185" t="s">
        <v>210</v>
      </c>
      <c r="B185" t="s">
        <v>25</v>
      </c>
      <c r="C185" t="s">
        <v>22</v>
      </c>
      <c r="D185">
        <v>91503</v>
      </c>
      <c r="E185">
        <v>75849</v>
      </c>
      <c r="F185" t="s">
        <v>23</v>
      </c>
      <c r="G185" t="str">
        <f t="shared" si="6"/>
        <v>High</v>
      </c>
      <c r="H185" t="str">
        <f t="shared" si="7"/>
        <v>Approved High-Value</v>
      </c>
      <c r="I185" t="str">
        <f t="shared" si="8"/>
        <v>High Risk</v>
      </c>
    </row>
    <row r="186" spans="1:9" x14ac:dyDescent="0.3">
      <c r="A186" s="1" t="s">
        <v>211</v>
      </c>
      <c r="B186" s="1" t="s">
        <v>21</v>
      </c>
      <c r="C186" s="1" t="s">
        <v>22</v>
      </c>
      <c r="D186" s="1">
        <v>23189</v>
      </c>
      <c r="E186" s="1">
        <v>90472</v>
      </c>
      <c r="F186" s="1" t="s">
        <v>23</v>
      </c>
      <c r="G186" t="str">
        <f t="shared" si="6"/>
        <v>Low</v>
      </c>
      <c r="H186" t="str">
        <f t="shared" si="7"/>
        <v>Other</v>
      </c>
      <c r="I186" t="str">
        <f t="shared" si="8"/>
        <v>Low Risk</v>
      </c>
    </row>
    <row r="187" spans="1:9" x14ac:dyDescent="0.3">
      <c r="A187" t="s">
        <v>212</v>
      </c>
      <c r="B187" t="s">
        <v>25</v>
      </c>
      <c r="C187" t="s">
        <v>18</v>
      </c>
      <c r="D187">
        <v>27898</v>
      </c>
      <c r="E187">
        <v>91062</v>
      </c>
      <c r="F187" t="s">
        <v>26</v>
      </c>
      <c r="G187" t="str">
        <f t="shared" si="6"/>
        <v>Low</v>
      </c>
      <c r="H187" t="str">
        <f t="shared" si="7"/>
        <v>Other</v>
      </c>
      <c r="I187" t="str">
        <f t="shared" si="8"/>
        <v>Low Risk</v>
      </c>
    </row>
    <row r="188" spans="1:9" x14ac:dyDescent="0.3">
      <c r="A188" s="1" t="s">
        <v>213</v>
      </c>
      <c r="B188" s="1" t="s">
        <v>25</v>
      </c>
      <c r="C188" s="1" t="s">
        <v>18</v>
      </c>
      <c r="D188" s="1">
        <v>6234</v>
      </c>
      <c r="E188" s="1">
        <v>63613</v>
      </c>
      <c r="F188" s="1" t="s">
        <v>23</v>
      </c>
      <c r="G188" t="str">
        <f t="shared" si="6"/>
        <v>Low</v>
      </c>
      <c r="H188" t="str">
        <f t="shared" si="7"/>
        <v>Other</v>
      </c>
      <c r="I188" t="str">
        <f t="shared" si="8"/>
        <v>Low Risk</v>
      </c>
    </row>
    <row r="189" spans="1:9" x14ac:dyDescent="0.3">
      <c r="A189" t="s">
        <v>214</v>
      </c>
      <c r="B189" t="s">
        <v>33</v>
      </c>
      <c r="C189" t="s">
        <v>18</v>
      </c>
      <c r="D189">
        <v>89452</v>
      </c>
      <c r="E189">
        <v>85079</v>
      </c>
      <c r="F189" t="s">
        <v>26</v>
      </c>
      <c r="G189" t="str">
        <f t="shared" si="6"/>
        <v>High</v>
      </c>
      <c r="H189" t="str">
        <f t="shared" si="7"/>
        <v>Other</v>
      </c>
      <c r="I189" t="str">
        <f t="shared" si="8"/>
        <v>High Risk</v>
      </c>
    </row>
    <row r="190" spans="1:9" x14ac:dyDescent="0.3">
      <c r="A190" s="1" t="s">
        <v>215</v>
      </c>
      <c r="B190" s="1" t="s">
        <v>33</v>
      </c>
      <c r="C190" s="1" t="s">
        <v>22</v>
      </c>
      <c r="D190" s="1">
        <v>106186</v>
      </c>
      <c r="E190" s="1">
        <v>93657</v>
      </c>
      <c r="F190" s="1" t="s">
        <v>19</v>
      </c>
      <c r="G190" t="str">
        <f t="shared" si="6"/>
        <v>High</v>
      </c>
      <c r="H190" t="str">
        <f t="shared" si="7"/>
        <v>Other</v>
      </c>
      <c r="I190" t="str">
        <f t="shared" si="8"/>
        <v>High Risk</v>
      </c>
    </row>
    <row r="191" spans="1:9" x14ac:dyDescent="0.3">
      <c r="A191" t="s">
        <v>216</v>
      </c>
      <c r="B191" t="s">
        <v>33</v>
      </c>
      <c r="C191" t="s">
        <v>22</v>
      </c>
      <c r="D191">
        <v>110424</v>
      </c>
      <c r="E191">
        <v>98285</v>
      </c>
      <c r="F191" t="s">
        <v>26</v>
      </c>
      <c r="G191" t="str">
        <f t="shared" si="6"/>
        <v>High</v>
      </c>
      <c r="H191" t="str">
        <f t="shared" si="7"/>
        <v>Other</v>
      </c>
      <c r="I191" t="str">
        <f t="shared" si="8"/>
        <v>High Risk</v>
      </c>
    </row>
    <row r="192" spans="1:9" x14ac:dyDescent="0.3">
      <c r="A192" s="1" t="s">
        <v>217</v>
      </c>
      <c r="B192" s="1" t="s">
        <v>33</v>
      </c>
      <c r="C192" s="1" t="s">
        <v>38</v>
      </c>
      <c r="D192" s="1">
        <v>26657</v>
      </c>
      <c r="E192" s="1">
        <v>61090</v>
      </c>
      <c r="F192" s="1" t="s">
        <v>23</v>
      </c>
      <c r="G192" t="str">
        <f t="shared" si="6"/>
        <v>Low</v>
      </c>
      <c r="H192" t="str">
        <f t="shared" si="7"/>
        <v>Other</v>
      </c>
      <c r="I192" t="str">
        <f t="shared" si="8"/>
        <v>Low Risk</v>
      </c>
    </row>
    <row r="193" spans="1:9" x14ac:dyDescent="0.3">
      <c r="A193" t="s">
        <v>218</v>
      </c>
      <c r="B193" t="s">
        <v>21</v>
      </c>
      <c r="C193" t="s">
        <v>18</v>
      </c>
      <c r="D193">
        <v>107469</v>
      </c>
      <c r="E193">
        <v>74403</v>
      </c>
      <c r="F193" t="s">
        <v>19</v>
      </c>
      <c r="G193" t="str">
        <f t="shared" si="6"/>
        <v>High</v>
      </c>
      <c r="H193" t="str">
        <f t="shared" si="7"/>
        <v>Other</v>
      </c>
      <c r="I193" t="str">
        <f t="shared" si="8"/>
        <v>High Risk</v>
      </c>
    </row>
    <row r="194" spans="1:9" x14ac:dyDescent="0.3">
      <c r="A194" s="1" t="s">
        <v>219</v>
      </c>
      <c r="B194" s="1" t="s">
        <v>25</v>
      </c>
      <c r="C194" s="1" t="s">
        <v>22</v>
      </c>
      <c r="D194" s="1">
        <v>94835</v>
      </c>
      <c r="E194" s="1">
        <v>92215</v>
      </c>
      <c r="F194" s="1" t="s">
        <v>19</v>
      </c>
      <c r="G194" t="str">
        <f t="shared" si="6"/>
        <v>High</v>
      </c>
      <c r="H194" t="str">
        <f t="shared" si="7"/>
        <v>Other</v>
      </c>
      <c r="I194" t="str">
        <f t="shared" si="8"/>
        <v>High Risk</v>
      </c>
    </row>
    <row r="195" spans="1:9" x14ac:dyDescent="0.3">
      <c r="A195" t="s">
        <v>220</v>
      </c>
      <c r="B195" t="s">
        <v>33</v>
      </c>
      <c r="C195" t="s">
        <v>38</v>
      </c>
      <c r="D195">
        <v>117957</v>
      </c>
      <c r="E195">
        <v>74676</v>
      </c>
      <c r="F195" t="s">
        <v>26</v>
      </c>
      <c r="G195" t="str">
        <f t="shared" ref="G195:G258" si="9">IF(D195&gt;=80000,"High",IF(D195&gt;=40000,"Medium","Low"))</f>
        <v>High</v>
      </c>
      <c r="H195" t="str">
        <f t="shared" ref="H195:H258" si="10">IF(AND(D195&gt;=80000,F195="Approved"),"Approved High-Value","Other")</f>
        <v>Other</v>
      </c>
      <c r="I195" t="str">
        <f t="shared" ref="I195:I258" si="11">IF(D195&gt;=80000,"High Risk",IF(D195&gt;=40000,"Medium Risk","Low Risk"))</f>
        <v>High Risk</v>
      </c>
    </row>
    <row r="196" spans="1:9" x14ac:dyDescent="0.3">
      <c r="A196" s="1" t="s">
        <v>221</v>
      </c>
      <c r="B196" s="1" t="s">
        <v>25</v>
      </c>
      <c r="C196" s="1" t="s">
        <v>38</v>
      </c>
      <c r="D196" s="1">
        <v>19108</v>
      </c>
      <c r="E196" s="1">
        <v>79058</v>
      </c>
      <c r="F196" s="1" t="s">
        <v>19</v>
      </c>
      <c r="G196" t="str">
        <f t="shared" si="9"/>
        <v>Low</v>
      </c>
      <c r="H196" t="str">
        <f t="shared" si="10"/>
        <v>Other</v>
      </c>
      <c r="I196" t="str">
        <f t="shared" si="11"/>
        <v>Low Risk</v>
      </c>
    </row>
    <row r="197" spans="1:9" x14ac:dyDescent="0.3">
      <c r="A197" t="s">
        <v>222</v>
      </c>
      <c r="B197" t="s">
        <v>33</v>
      </c>
      <c r="C197" t="s">
        <v>22</v>
      </c>
      <c r="D197">
        <v>116503</v>
      </c>
      <c r="E197">
        <v>82275</v>
      </c>
      <c r="F197" t="s">
        <v>19</v>
      </c>
      <c r="G197" t="str">
        <f t="shared" si="9"/>
        <v>High</v>
      </c>
      <c r="H197" t="str">
        <f t="shared" si="10"/>
        <v>Other</v>
      </c>
      <c r="I197" t="str">
        <f t="shared" si="11"/>
        <v>High Risk</v>
      </c>
    </row>
    <row r="198" spans="1:9" x14ac:dyDescent="0.3">
      <c r="A198" s="1" t="s">
        <v>223</v>
      </c>
      <c r="B198" s="1" t="s">
        <v>33</v>
      </c>
      <c r="C198" s="1" t="s">
        <v>22</v>
      </c>
      <c r="D198" s="1">
        <v>85562</v>
      </c>
      <c r="E198" s="1">
        <v>92054</v>
      </c>
      <c r="F198" s="1" t="s">
        <v>23</v>
      </c>
      <c r="G198" t="str">
        <f t="shared" si="9"/>
        <v>High</v>
      </c>
      <c r="H198" t="str">
        <f t="shared" si="10"/>
        <v>Approved High-Value</v>
      </c>
      <c r="I198" t="str">
        <f t="shared" si="11"/>
        <v>High Risk</v>
      </c>
    </row>
    <row r="199" spans="1:9" x14ac:dyDescent="0.3">
      <c r="A199" t="s">
        <v>224</v>
      </c>
      <c r="B199" t="s">
        <v>33</v>
      </c>
      <c r="C199" t="s">
        <v>30</v>
      </c>
      <c r="D199">
        <v>27285</v>
      </c>
      <c r="E199">
        <v>93375</v>
      </c>
      <c r="F199" t="s">
        <v>26</v>
      </c>
      <c r="G199" t="str">
        <f t="shared" si="9"/>
        <v>Low</v>
      </c>
      <c r="H199" t="str">
        <f t="shared" si="10"/>
        <v>Other</v>
      </c>
      <c r="I199" t="str">
        <f t="shared" si="11"/>
        <v>Low Risk</v>
      </c>
    </row>
    <row r="200" spans="1:9" x14ac:dyDescent="0.3">
      <c r="A200" s="1" t="s">
        <v>225</v>
      </c>
      <c r="B200" s="1" t="s">
        <v>21</v>
      </c>
      <c r="C200" s="1" t="s">
        <v>22</v>
      </c>
      <c r="D200" s="1">
        <v>72533</v>
      </c>
      <c r="E200" s="1">
        <v>54760</v>
      </c>
      <c r="F200" s="1" t="s">
        <v>19</v>
      </c>
      <c r="G200" t="str">
        <f t="shared" si="9"/>
        <v>Medium</v>
      </c>
      <c r="H200" t="str">
        <f t="shared" si="10"/>
        <v>Other</v>
      </c>
      <c r="I200" t="str">
        <f t="shared" si="11"/>
        <v>Medium Risk</v>
      </c>
    </row>
    <row r="201" spans="1:9" x14ac:dyDescent="0.3">
      <c r="A201" t="s">
        <v>226</v>
      </c>
      <c r="B201" t="s">
        <v>33</v>
      </c>
      <c r="C201" t="s">
        <v>30</v>
      </c>
      <c r="D201">
        <v>2059</v>
      </c>
      <c r="E201">
        <v>97653</v>
      </c>
      <c r="F201" t="s">
        <v>26</v>
      </c>
      <c r="G201" t="str">
        <f t="shared" si="9"/>
        <v>Low</v>
      </c>
      <c r="H201" t="str">
        <f t="shared" si="10"/>
        <v>Other</v>
      </c>
      <c r="I201" t="str">
        <f t="shared" si="11"/>
        <v>Low Risk</v>
      </c>
    </row>
    <row r="202" spans="1:9" x14ac:dyDescent="0.3">
      <c r="A202" s="1" t="s">
        <v>227</v>
      </c>
      <c r="B202" s="1" t="s">
        <v>33</v>
      </c>
      <c r="C202" s="1" t="s">
        <v>30</v>
      </c>
      <c r="D202" s="1">
        <v>22763</v>
      </c>
      <c r="E202" s="1">
        <v>50228</v>
      </c>
      <c r="F202" s="1" t="s">
        <v>19</v>
      </c>
      <c r="G202" t="str">
        <f t="shared" si="9"/>
        <v>Low</v>
      </c>
      <c r="H202" t="str">
        <f t="shared" si="10"/>
        <v>Other</v>
      </c>
      <c r="I202" t="str">
        <f t="shared" si="11"/>
        <v>Low Risk</v>
      </c>
    </row>
    <row r="203" spans="1:9" x14ac:dyDescent="0.3">
      <c r="A203" t="s">
        <v>228</v>
      </c>
      <c r="B203" t="s">
        <v>17</v>
      </c>
      <c r="C203" t="s">
        <v>38</v>
      </c>
      <c r="D203">
        <v>68964</v>
      </c>
      <c r="E203">
        <v>84621</v>
      </c>
      <c r="F203" t="s">
        <v>19</v>
      </c>
      <c r="G203" t="str">
        <f t="shared" si="9"/>
        <v>Medium</v>
      </c>
      <c r="H203" t="str">
        <f t="shared" si="10"/>
        <v>Other</v>
      </c>
      <c r="I203" t="str">
        <f t="shared" si="11"/>
        <v>Medium Risk</v>
      </c>
    </row>
    <row r="204" spans="1:9" x14ac:dyDescent="0.3">
      <c r="A204" s="1" t="s">
        <v>229</v>
      </c>
      <c r="B204" s="1" t="s">
        <v>21</v>
      </c>
      <c r="C204" s="1" t="s">
        <v>22</v>
      </c>
      <c r="D204" s="1">
        <v>34070</v>
      </c>
      <c r="E204" s="1">
        <v>96012</v>
      </c>
      <c r="F204" s="1" t="s">
        <v>23</v>
      </c>
      <c r="G204" t="str">
        <f t="shared" si="9"/>
        <v>Low</v>
      </c>
      <c r="H204" t="str">
        <f t="shared" si="10"/>
        <v>Other</v>
      </c>
      <c r="I204" t="str">
        <f t="shared" si="11"/>
        <v>Low Risk</v>
      </c>
    </row>
    <row r="205" spans="1:9" x14ac:dyDescent="0.3">
      <c r="A205" t="s">
        <v>230</v>
      </c>
      <c r="B205" t="s">
        <v>33</v>
      </c>
      <c r="C205" t="s">
        <v>22</v>
      </c>
      <c r="D205">
        <v>103083</v>
      </c>
      <c r="E205">
        <v>66239</v>
      </c>
      <c r="F205" t="s">
        <v>19</v>
      </c>
      <c r="G205" t="str">
        <f t="shared" si="9"/>
        <v>High</v>
      </c>
      <c r="H205" t="str">
        <f t="shared" si="10"/>
        <v>Other</v>
      </c>
      <c r="I205" t="str">
        <f t="shared" si="11"/>
        <v>High Risk</v>
      </c>
    </row>
    <row r="206" spans="1:9" x14ac:dyDescent="0.3">
      <c r="A206" s="1" t="s">
        <v>231</v>
      </c>
      <c r="B206" s="1" t="s">
        <v>25</v>
      </c>
      <c r="C206" s="1" t="s">
        <v>22</v>
      </c>
      <c r="D206" s="1">
        <v>16588</v>
      </c>
      <c r="E206" s="1">
        <v>84611</v>
      </c>
      <c r="F206" s="1" t="s">
        <v>19</v>
      </c>
      <c r="G206" t="str">
        <f t="shared" si="9"/>
        <v>Low</v>
      </c>
      <c r="H206" t="str">
        <f t="shared" si="10"/>
        <v>Other</v>
      </c>
      <c r="I206" t="str">
        <f t="shared" si="11"/>
        <v>Low Risk</v>
      </c>
    </row>
    <row r="207" spans="1:9" x14ac:dyDescent="0.3">
      <c r="A207" t="s">
        <v>232</v>
      </c>
      <c r="B207" t="s">
        <v>17</v>
      </c>
      <c r="C207" t="s">
        <v>22</v>
      </c>
      <c r="D207">
        <v>33478</v>
      </c>
      <c r="E207">
        <v>72202</v>
      </c>
      <c r="F207" t="s">
        <v>23</v>
      </c>
      <c r="G207" t="str">
        <f t="shared" si="9"/>
        <v>Low</v>
      </c>
      <c r="H207" t="str">
        <f t="shared" si="10"/>
        <v>Other</v>
      </c>
      <c r="I207" t="str">
        <f t="shared" si="11"/>
        <v>Low Risk</v>
      </c>
    </row>
    <row r="208" spans="1:9" x14ac:dyDescent="0.3">
      <c r="A208" s="1" t="s">
        <v>233</v>
      </c>
      <c r="B208" s="1" t="s">
        <v>17</v>
      </c>
      <c r="C208" s="1" t="s">
        <v>18</v>
      </c>
      <c r="D208" s="1">
        <v>33740</v>
      </c>
      <c r="E208" s="1">
        <v>82840</v>
      </c>
      <c r="F208" s="1" t="s">
        <v>26</v>
      </c>
      <c r="G208" t="str">
        <f t="shared" si="9"/>
        <v>Low</v>
      </c>
      <c r="H208" t="str">
        <f t="shared" si="10"/>
        <v>Other</v>
      </c>
      <c r="I208" t="str">
        <f t="shared" si="11"/>
        <v>Low Risk</v>
      </c>
    </row>
    <row r="209" spans="1:9" x14ac:dyDescent="0.3">
      <c r="A209" t="s">
        <v>234</v>
      </c>
      <c r="B209" t="s">
        <v>21</v>
      </c>
      <c r="C209" t="s">
        <v>22</v>
      </c>
      <c r="D209">
        <v>92685</v>
      </c>
      <c r="E209">
        <v>73365</v>
      </c>
      <c r="F209" t="s">
        <v>23</v>
      </c>
      <c r="G209" t="str">
        <f t="shared" si="9"/>
        <v>High</v>
      </c>
      <c r="H209" t="str">
        <f t="shared" si="10"/>
        <v>Approved High-Value</v>
      </c>
      <c r="I209" t="str">
        <f t="shared" si="11"/>
        <v>High Risk</v>
      </c>
    </row>
    <row r="210" spans="1:9" x14ac:dyDescent="0.3">
      <c r="A210" s="1" t="s">
        <v>235</v>
      </c>
      <c r="B210" s="1" t="s">
        <v>25</v>
      </c>
      <c r="C210" s="1" t="s">
        <v>38</v>
      </c>
      <c r="D210" s="1">
        <v>6762</v>
      </c>
      <c r="E210" s="1">
        <v>50637</v>
      </c>
      <c r="F210" s="1" t="s">
        <v>23</v>
      </c>
      <c r="G210" t="str">
        <f t="shared" si="9"/>
        <v>Low</v>
      </c>
      <c r="H210" t="str">
        <f t="shared" si="10"/>
        <v>Other</v>
      </c>
      <c r="I210" t="str">
        <f t="shared" si="11"/>
        <v>Low Risk</v>
      </c>
    </row>
    <row r="211" spans="1:9" x14ac:dyDescent="0.3">
      <c r="A211" t="s">
        <v>236</v>
      </c>
      <c r="B211" t="s">
        <v>17</v>
      </c>
      <c r="C211" t="s">
        <v>38</v>
      </c>
      <c r="D211">
        <v>70386</v>
      </c>
      <c r="E211">
        <v>51401</v>
      </c>
      <c r="F211" t="s">
        <v>19</v>
      </c>
      <c r="G211" t="str">
        <f t="shared" si="9"/>
        <v>Medium</v>
      </c>
      <c r="H211" t="str">
        <f t="shared" si="10"/>
        <v>Other</v>
      </c>
      <c r="I211" t="str">
        <f t="shared" si="11"/>
        <v>Medium Risk</v>
      </c>
    </row>
    <row r="212" spans="1:9" x14ac:dyDescent="0.3">
      <c r="A212" s="1" t="s">
        <v>237</v>
      </c>
      <c r="B212" s="1" t="s">
        <v>21</v>
      </c>
      <c r="C212" s="1" t="s">
        <v>30</v>
      </c>
      <c r="D212" s="1">
        <v>3790</v>
      </c>
      <c r="E212" s="1">
        <v>78646</v>
      </c>
      <c r="F212" s="1" t="s">
        <v>23</v>
      </c>
      <c r="G212" t="str">
        <f t="shared" si="9"/>
        <v>Low</v>
      </c>
      <c r="H212" t="str">
        <f t="shared" si="10"/>
        <v>Other</v>
      </c>
      <c r="I212" t="str">
        <f t="shared" si="11"/>
        <v>Low Risk</v>
      </c>
    </row>
    <row r="213" spans="1:9" x14ac:dyDescent="0.3">
      <c r="A213" t="s">
        <v>238</v>
      </c>
      <c r="B213" t="s">
        <v>25</v>
      </c>
      <c r="C213" t="s">
        <v>22</v>
      </c>
      <c r="D213">
        <v>113164</v>
      </c>
      <c r="E213">
        <v>96477</v>
      </c>
      <c r="F213" t="s">
        <v>26</v>
      </c>
      <c r="G213" t="str">
        <f t="shared" si="9"/>
        <v>High</v>
      </c>
      <c r="H213" t="str">
        <f t="shared" si="10"/>
        <v>Other</v>
      </c>
      <c r="I213" t="str">
        <f t="shared" si="11"/>
        <v>High Risk</v>
      </c>
    </row>
    <row r="214" spans="1:9" x14ac:dyDescent="0.3">
      <c r="A214" s="1" t="s">
        <v>239</v>
      </c>
      <c r="B214" s="1" t="s">
        <v>17</v>
      </c>
      <c r="C214" s="1" t="s">
        <v>18</v>
      </c>
      <c r="D214" s="1">
        <v>44228</v>
      </c>
      <c r="E214" s="1">
        <v>72353</v>
      </c>
      <c r="F214" s="1" t="s">
        <v>19</v>
      </c>
      <c r="G214" t="str">
        <f t="shared" si="9"/>
        <v>Medium</v>
      </c>
      <c r="H214" t="str">
        <f t="shared" si="10"/>
        <v>Other</v>
      </c>
      <c r="I214" t="str">
        <f t="shared" si="11"/>
        <v>Medium Risk</v>
      </c>
    </row>
    <row r="215" spans="1:9" x14ac:dyDescent="0.3">
      <c r="A215" t="s">
        <v>240</v>
      </c>
      <c r="B215" t="s">
        <v>17</v>
      </c>
      <c r="C215" t="s">
        <v>18</v>
      </c>
      <c r="D215">
        <v>35116</v>
      </c>
      <c r="E215">
        <v>57569</v>
      </c>
      <c r="F215" t="s">
        <v>26</v>
      </c>
      <c r="G215" t="str">
        <f t="shared" si="9"/>
        <v>Low</v>
      </c>
      <c r="H215" t="str">
        <f t="shared" si="10"/>
        <v>Other</v>
      </c>
      <c r="I215" t="str">
        <f t="shared" si="11"/>
        <v>Low Risk</v>
      </c>
    </row>
    <row r="216" spans="1:9" x14ac:dyDescent="0.3">
      <c r="A216" s="1" t="s">
        <v>241</v>
      </c>
      <c r="B216" s="1" t="s">
        <v>25</v>
      </c>
      <c r="C216" s="1" t="s">
        <v>30</v>
      </c>
      <c r="D216" s="1">
        <v>81760</v>
      </c>
      <c r="E216" s="1">
        <v>84849</v>
      </c>
      <c r="F216" s="1" t="s">
        <v>26</v>
      </c>
      <c r="G216" t="str">
        <f t="shared" si="9"/>
        <v>High</v>
      </c>
      <c r="H216" t="str">
        <f t="shared" si="10"/>
        <v>Other</v>
      </c>
      <c r="I216" t="str">
        <f t="shared" si="11"/>
        <v>High Risk</v>
      </c>
    </row>
    <row r="217" spans="1:9" x14ac:dyDescent="0.3">
      <c r="A217" t="s">
        <v>242</v>
      </c>
      <c r="B217" t="s">
        <v>21</v>
      </c>
      <c r="C217" t="s">
        <v>38</v>
      </c>
      <c r="D217">
        <v>17473</v>
      </c>
      <c r="E217">
        <v>62161</v>
      </c>
      <c r="F217" t="s">
        <v>26</v>
      </c>
      <c r="G217" t="str">
        <f t="shared" si="9"/>
        <v>Low</v>
      </c>
      <c r="H217" t="str">
        <f t="shared" si="10"/>
        <v>Other</v>
      </c>
      <c r="I217" t="str">
        <f t="shared" si="11"/>
        <v>Low Risk</v>
      </c>
    </row>
    <row r="218" spans="1:9" x14ac:dyDescent="0.3">
      <c r="A218" s="1" t="s">
        <v>243</v>
      </c>
      <c r="B218" s="1" t="s">
        <v>21</v>
      </c>
      <c r="C218" s="1" t="s">
        <v>18</v>
      </c>
      <c r="D218" s="1">
        <v>24470</v>
      </c>
      <c r="E218" s="1">
        <v>99588</v>
      </c>
      <c r="F218" s="1" t="s">
        <v>23</v>
      </c>
      <c r="G218" t="str">
        <f t="shared" si="9"/>
        <v>Low</v>
      </c>
      <c r="H218" t="str">
        <f t="shared" si="10"/>
        <v>Other</v>
      </c>
      <c r="I218" t="str">
        <f t="shared" si="11"/>
        <v>Low Risk</v>
      </c>
    </row>
    <row r="219" spans="1:9" x14ac:dyDescent="0.3">
      <c r="A219" t="s">
        <v>244</v>
      </c>
      <c r="B219" t="s">
        <v>17</v>
      </c>
      <c r="C219" t="s">
        <v>22</v>
      </c>
      <c r="D219">
        <v>100263</v>
      </c>
      <c r="E219">
        <v>52917</v>
      </c>
      <c r="F219" t="s">
        <v>23</v>
      </c>
      <c r="G219" t="str">
        <f t="shared" si="9"/>
        <v>High</v>
      </c>
      <c r="H219" t="str">
        <f t="shared" si="10"/>
        <v>Approved High-Value</v>
      </c>
      <c r="I219" t="str">
        <f t="shared" si="11"/>
        <v>High Risk</v>
      </c>
    </row>
    <row r="220" spans="1:9" x14ac:dyDescent="0.3">
      <c r="A220" s="1" t="s">
        <v>245</v>
      </c>
      <c r="B220" s="1" t="s">
        <v>33</v>
      </c>
      <c r="C220" s="1" t="s">
        <v>38</v>
      </c>
      <c r="D220" s="1">
        <v>63496</v>
      </c>
      <c r="E220" s="1">
        <v>70986</v>
      </c>
      <c r="F220" s="1" t="s">
        <v>19</v>
      </c>
      <c r="G220" t="str">
        <f t="shared" si="9"/>
        <v>Medium</v>
      </c>
      <c r="H220" t="str">
        <f t="shared" si="10"/>
        <v>Other</v>
      </c>
      <c r="I220" t="str">
        <f t="shared" si="11"/>
        <v>Medium Risk</v>
      </c>
    </row>
    <row r="221" spans="1:9" x14ac:dyDescent="0.3">
      <c r="A221" t="s">
        <v>246</v>
      </c>
      <c r="B221" t="s">
        <v>21</v>
      </c>
      <c r="C221" t="s">
        <v>30</v>
      </c>
      <c r="D221">
        <v>12606</v>
      </c>
      <c r="E221">
        <v>69423</v>
      </c>
      <c r="F221" t="s">
        <v>26</v>
      </c>
      <c r="G221" t="str">
        <f t="shared" si="9"/>
        <v>Low</v>
      </c>
      <c r="H221" t="str">
        <f t="shared" si="10"/>
        <v>Other</v>
      </c>
      <c r="I221" t="str">
        <f t="shared" si="11"/>
        <v>Low Risk</v>
      </c>
    </row>
    <row r="222" spans="1:9" x14ac:dyDescent="0.3">
      <c r="A222" s="1" t="s">
        <v>247</v>
      </c>
      <c r="B222" s="1" t="s">
        <v>17</v>
      </c>
      <c r="C222" s="1" t="s">
        <v>22</v>
      </c>
      <c r="D222" s="1">
        <v>32810</v>
      </c>
      <c r="E222" s="1">
        <v>94351</v>
      </c>
      <c r="F222" s="1" t="s">
        <v>19</v>
      </c>
      <c r="G222" t="str">
        <f t="shared" si="9"/>
        <v>Low</v>
      </c>
      <c r="H222" t="str">
        <f t="shared" si="10"/>
        <v>Other</v>
      </c>
      <c r="I222" t="str">
        <f t="shared" si="11"/>
        <v>Low Risk</v>
      </c>
    </row>
    <row r="223" spans="1:9" x14ac:dyDescent="0.3">
      <c r="A223" t="s">
        <v>248</v>
      </c>
      <c r="B223" t="s">
        <v>33</v>
      </c>
      <c r="C223" t="s">
        <v>18</v>
      </c>
      <c r="D223">
        <v>118085</v>
      </c>
      <c r="E223">
        <v>98847</v>
      </c>
      <c r="F223" t="s">
        <v>26</v>
      </c>
      <c r="G223" t="str">
        <f t="shared" si="9"/>
        <v>High</v>
      </c>
      <c r="H223" t="str">
        <f t="shared" si="10"/>
        <v>Other</v>
      </c>
      <c r="I223" t="str">
        <f t="shared" si="11"/>
        <v>High Risk</v>
      </c>
    </row>
    <row r="224" spans="1:9" x14ac:dyDescent="0.3">
      <c r="A224" s="1" t="s">
        <v>249</v>
      </c>
      <c r="B224" s="1" t="s">
        <v>21</v>
      </c>
      <c r="C224" s="1" t="s">
        <v>18</v>
      </c>
      <c r="D224" s="1">
        <v>54469</v>
      </c>
      <c r="E224" s="1">
        <v>81147</v>
      </c>
      <c r="F224" s="1" t="s">
        <v>23</v>
      </c>
      <c r="G224" t="str">
        <f t="shared" si="9"/>
        <v>Medium</v>
      </c>
      <c r="H224" t="str">
        <f t="shared" si="10"/>
        <v>Other</v>
      </c>
      <c r="I224" t="str">
        <f t="shared" si="11"/>
        <v>Medium Risk</v>
      </c>
    </row>
    <row r="225" spans="1:9" x14ac:dyDescent="0.3">
      <c r="A225" t="s">
        <v>250</v>
      </c>
      <c r="B225" t="s">
        <v>17</v>
      </c>
      <c r="C225" t="s">
        <v>18</v>
      </c>
      <c r="D225">
        <v>19629</v>
      </c>
      <c r="E225">
        <v>99226</v>
      </c>
      <c r="F225" t="s">
        <v>19</v>
      </c>
      <c r="G225" t="str">
        <f t="shared" si="9"/>
        <v>Low</v>
      </c>
      <c r="H225" t="str">
        <f t="shared" si="10"/>
        <v>Other</v>
      </c>
      <c r="I225" t="str">
        <f t="shared" si="11"/>
        <v>Low Risk</v>
      </c>
    </row>
    <row r="226" spans="1:9" x14ac:dyDescent="0.3">
      <c r="A226" s="1" t="s">
        <v>251</v>
      </c>
      <c r="B226" s="1" t="s">
        <v>21</v>
      </c>
      <c r="C226" s="1" t="s">
        <v>38</v>
      </c>
      <c r="D226" s="1">
        <v>9658</v>
      </c>
      <c r="E226" s="1">
        <v>93580</v>
      </c>
      <c r="F226" s="1" t="s">
        <v>23</v>
      </c>
      <c r="G226" t="str">
        <f t="shared" si="9"/>
        <v>Low</v>
      </c>
      <c r="H226" t="str">
        <f t="shared" si="10"/>
        <v>Other</v>
      </c>
      <c r="I226" t="str">
        <f t="shared" si="11"/>
        <v>Low Risk</v>
      </c>
    </row>
    <row r="227" spans="1:9" x14ac:dyDescent="0.3">
      <c r="A227" t="s">
        <v>252</v>
      </c>
      <c r="B227" t="s">
        <v>17</v>
      </c>
      <c r="C227" t="s">
        <v>22</v>
      </c>
      <c r="D227">
        <v>86258</v>
      </c>
      <c r="E227">
        <v>93631</v>
      </c>
      <c r="F227" t="s">
        <v>19</v>
      </c>
      <c r="G227" t="str">
        <f t="shared" si="9"/>
        <v>High</v>
      </c>
      <c r="H227" t="str">
        <f t="shared" si="10"/>
        <v>Other</v>
      </c>
      <c r="I227" t="str">
        <f t="shared" si="11"/>
        <v>High Risk</v>
      </c>
    </row>
    <row r="228" spans="1:9" x14ac:dyDescent="0.3">
      <c r="A228" s="1" t="s">
        <v>253</v>
      </c>
      <c r="B228" s="1" t="s">
        <v>17</v>
      </c>
      <c r="C228" s="1" t="s">
        <v>18</v>
      </c>
      <c r="D228" s="1">
        <v>116307</v>
      </c>
      <c r="E228" s="1">
        <v>87837</v>
      </c>
      <c r="F228" s="1" t="s">
        <v>23</v>
      </c>
      <c r="G228" t="str">
        <f t="shared" si="9"/>
        <v>High</v>
      </c>
      <c r="H228" t="str">
        <f t="shared" si="10"/>
        <v>Approved High-Value</v>
      </c>
      <c r="I228" t="str">
        <f t="shared" si="11"/>
        <v>High Risk</v>
      </c>
    </row>
    <row r="229" spans="1:9" x14ac:dyDescent="0.3">
      <c r="A229" t="s">
        <v>254</v>
      </c>
      <c r="B229" t="s">
        <v>25</v>
      </c>
      <c r="C229" t="s">
        <v>22</v>
      </c>
      <c r="D229">
        <v>65328</v>
      </c>
      <c r="E229">
        <v>52696</v>
      </c>
      <c r="F229" t="s">
        <v>23</v>
      </c>
      <c r="G229" t="str">
        <f t="shared" si="9"/>
        <v>Medium</v>
      </c>
      <c r="H229" t="str">
        <f t="shared" si="10"/>
        <v>Other</v>
      </c>
      <c r="I229" t="str">
        <f t="shared" si="11"/>
        <v>Medium Risk</v>
      </c>
    </row>
    <row r="230" spans="1:9" x14ac:dyDescent="0.3">
      <c r="A230" s="1" t="s">
        <v>255</v>
      </c>
      <c r="B230" s="1" t="s">
        <v>21</v>
      </c>
      <c r="C230" s="1" t="s">
        <v>18</v>
      </c>
      <c r="D230" s="1">
        <v>52138</v>
      </c>
      <c r="E230" s="1">
        <v>59711</v>
      </c>
      <c r="F230" s="1" t="s">
        <v>19</v>
      </c>
      <c r="G230" t="str">
        <f t="shared" si="9"/>
        <v>Medium</v>
      </c>
      <c r="H230" t="str">
        <f t="shared" si="10"/>
        <v>Other</v>
      </c>
      <c r="I230" t="str">
        <f t="shared" si="11"/>
        <v>Medium Risk</v>
      </c>
    </row>
    <row r="231" spans="1:9" x14ac:dyDescent="0.3">
      <c r="A231" t="s">
        <v>256</v>
      </c>
      <c r="B231" t="s">
        <v>33</v>
      </c>
      <c r="C231" t="s">
        <v>38</v>
      </c>
      <c r="D231">
        <v>71517</v>
      </c>
      <c r="E231">
        <v>58688</v>
      </c>
      <c r="F231" t="s">
        <v>23</v>
      </c>
      <c r="G231" t="str">
        <f t="shared" si="9"/>
        <v>Medium</v>
      </c>
      <c r="H231" t="str">
        <f t="shared" si="10"/>
        <v>Other</v>
      </c>
      <c r="I231" t="str">
        <f t="shared" si="11"/>
        <v>Medium Risk</v>
      </c>
    </row>
    <row r="232" spans="1:9" x14ac:dyDescent="0.3">
      <c r="A232" s="1" t="s">
        <v>257</v>
      </c>
      <c r="B232" s="1" t="s">
        <v>21</v>
      </c>
      <c r="C232" s="1" t="s">
        <v>18</v>
      </c>
      <c r="D232" s="1">
        <v>62337</v>
      </c>
      <c r="E232" s="1">
        <v>84797</v>
      </c>
      <c r="F232" s="1" t="s">
        <v>26</v>
      </c>
      <c r="G232" t="str">
        <f t="shared" si="9"/>
        <v>Medium</v>
      </c>
      <c r="H232" t="str">
        <f t="shared" si="10"/>
        <v>Other</v>
      </c>
      <c r="I232" t="str">
        <f t="shared" si="11"/>
        <v>Medium Risk</v>
      </c>
    </row>
    <row r="233" spans="1:9" x14ac:dyDescent="0.3">
      <c r="A233" t="s">
        <v>258</v>
      </c>
      <c r="B233" t="s">
        <v>33</v>
      </c>
      <c r="C233" t="s">
        <v>18</v>
      </c>
      <c r="D233">
        <v>41909</v>
      </c>
      <c r="E233">
        <v>76255</v>
      </c>
      <c r="F233" t="s">
        <v>26</v>
      </c>
      <c r="G233" t="str">
        <f t="shared" si="9"/>
        <v>Medium</v>
      </c>
      <c r="H233" t="str">
        <f t="shared" si="10"/>
        <v>Other</v>
      </c>
      <c r="I233" t="str">
        <f t="shared" si="11"/>
        <v>Medium Risk</v>
      </c>
    </row>
    <row r="234" spans="1:9" x14ac:dyDescent="0.3">
      <c r="A234" s="1" t="s">
        <v>259</v>
      </c>
      <c r="B234" s="1" t="s">
        <v>25</v>
      </c>
      <c r="C234" s="1" t="s">
        <v>22</v>
      </c>
      <c r="D234" s="1">
        <v>14766</v>
      </c>
      <c r="E234" s="1">
        <v>51052</v>
      </c>
      <c r="F234" s="1" t="s">
        <v>23</v>
      </c>
      <c r="G234" t="str">
        <f t="shared" si="9"/>
        <v>Low</v>
      </c>
      <c r="H234" t="str">
        <f t="shared" si="10"/>
        <v>Other</v>
      </c>
      <c r="I234" t="str">
        <f t="shared" si="11"/>
        <v>Low Risk</v>
      </c>
    </row>
    <row r="235" spans="1:9" x14ac:dyDescent="0.3">
      <c r="A235" t="s">
        <v>260</v>
      </c>
      <c r="B235" t="s">
        <v>33</v>
      </c>
      <c r="C235" t="s">
        <v>18</v>
      </c>
      <c r="D235">
        <v>89500</v>
      </c>
      <c r="E235">
        <v>69777</v>
      </c>
      <c r="F235" t="s">
        <v>26</v>
      </c>
      <c r="G235" t="str">
        <f t="shared" si="9"/>
        <v>High</v>
      </c>
      <c r="H235" t="str">
        <f t="shared" si="10"/>
        <v>Other</v>
      </c>
      <c r="I235" t="str">
        <f t="shared" si="11"/>
        <v>High Risk</v>
      </c>
    </row>
    <row r="236" spans="1:9" x14ac:dyDescent="0.3">
      <c r="A236" s="1" t="s">
        <v>261</v>
      </c>
      <c r="B236" s="1" t="s">
        <v>17</v>
      </c>
      <c r="C236" s="1" t="s">
        <v>22</v>
      </c>
      <c r="D236" s="1">
        <v>106490</v>
      </c>
      <c r="E236" s="1">
        <v>60113</v>
      </c>
      <c r="F236" s="1" t="s">
        <v>19</v>
      </c>
      <c r="G236" t="str">
        <f t="shared" si="9"/>
        <v>High</v>
      </c>
      <c r="H236" t="str">
        <f t="shared" si="10"/>
        <v>Other</v>
      </c>
      <c r="I236" t="str">
        <f t="shared" si="11"/>
        <v>High Risk</v>
      </c>
    </row>
    <row r="237" spans="1:9" x14ac:dyDescent="0.3">
      <c r="A237" t="s">
        <v>262</v>
      </c>
      <c r="B237" t="s">
        <v>21</v>
      </c>
      <c r="C237" t="s">
        <v>18</v>
      </c>
      <c r="D237">
        <v>100364</v>
      </c>
      <c r="E237">
        <v>81645</v>
      </c>
      <c r="F237" t="s">
        <v>26</v>
      </c>
      <c r="G237" t="str">
        <f t="shared" si="9"/>
        <v>High</v>
      </c>
      <c r="H237" t="str">
        <f t="shared" si="10"/>
        <v>Other</v>
      </c>
      <c r="I237" t="str">
        <f t="shared" si="11"/>
        <v>High Risk</v>
      </c>
    </row>
    <row r="238" spans="1:9" x14ac:dyDescent="0.3">
      <c r="A238" s="1" t="s">
        <v>263</v>
      </c>
      <c r="B238" s="1" t="s">
        <v>21</v>
      </c>
      <c r="C238" s="1" t="s">
        <v>38</v>
      </c>
      <c r="D238" s="1">
        <v>32333</v>
      </c>
      <c r="E238" s="1">
        <v>91492</v>
      </c>
      <c r="F238" s="1" t="s">
        <v>19</v>
      </c>
      <c r="G238" t="str">
        <f t="shared" si="9"/>
        <v>Low</v>
      </c>
      <c r="H238" t="str">
        <f t="shared" si="10"/>
        <v>Other</v>
      </c>
      <c r="I238" t="str">
        <f t="shared" si="11"/>
        <v>Low Risk</v>
      </c>
    </row>
    <row r="239" spans="1:9" x14ac:dyDescent="0.3">
      <c r="A239" t="s">
        <v>264</v>
      </c>
      <c r="B239" t="s">
        <v>21</v>
      </c>
      <c r="C239" t="s">
        <v>18</v>
      </c>
      <c r="D239">
        <v>59175</v>
      </c>
      <c r="E239">
        <v>85529</v>
      </c>
      <c r="F239" t="s">
        <v>23</v>
      </c>
      <c r="G239" t="str">
        <f t="shared" si="9"/>
        <v>Medium</v>
      </c>
      <c r="H239" t="str">
        <f t="shared" si="10"/>
        <v>Other</v>
      </c>
      <c r="I239" t="str">
        <f t="shared" si="11"/>
        <v>Medium Risk</v>
      </c>
    </row>
    <row r="240" spans="1:9" x14ac:dyDescent="0.3">
      <c r="A240" s="1" t="s">
        <v>265</v>
      </c>
      <c r="B240" s="1" t="s">
        <v>33</v>
      </c>
      <c r="C240" s="1" t="s">
        <v>30</v>
      </c>
      <c r="D240" s="1">
        <v>101007</v>
      </c>
      <c r="E240" s="1">
        <v>84669</v>
      </c>
      <c r="F240" s="1" t="s">
        <v>26</v>
      </c>
      <c r="G240" t="str">
        <f t="shared" si="9"/>
        <v>High</v>
      </c>
      <c r="H240" t="str">
        <f t="shared" si="10"/>
        <v>Other</v>
      </c>
      <c r="I240" t="str">
        <f t="shared" si="11"/>
        <v>High Risk</v>
      </c>
    </row>
    <row r="241" spans="1:9" x14ac:dyDescent="0.3">
      <c r="A241" t="s">
        <v>266</v>
      </c>
      <c r="B241" t="s">
        <v>17</v>
      </c>
      <c r="C241" t="s">
        <v>30</v>
      </c>
      <c r="D241">
        <v>19524</v>
      </c>
      <c r="E241">
        <v>70997</v>
      </c>
      <c r="F241" t="s">
        <v>26</v>
      </c>
      <c r="G241" t="str">
        <f t="shared" si="9"/>
        <v>Low</v>
      </c>
      <c r="H241" t="str">
        <f t="shared" si="10"/>
        <v>Other</v>
      </c>
      <c r="I241" t="str">
        <f t="shared" si="11"/>
        <v>Low Risk</v>
      </c>
    </row>
    <row r="242" spans="1:9" x14ac:dyDescent="0.3">
      <c r="A242" s="1" t="s">
        <v>267</v>
      </c>
      <c r="B242" s="1" t="s">
        <v>25</v>
      </c>
      <c r="C242" s="1" t="s">
        <v>18</v>
      </c>
      <c r="D242" s="1">
        <v>97416</v>
      </c>
      <c r="E242" s="1">
        <v>75656</v>
      </c>
      <c r="F242" s="1" t="s">
        <v>19</v>
      </c>
      <c r="G242" t="str">
        <f t="shared" si="9"/>
        <v>High</v>
      </c>
      <c r="H242" t="str">
        <f t="shared" si="10"/>
        <v>Other</v>
      </c>
      <c r="I242" t="str">
        <f t="shared" si="11"/>
        <v>High Risk</v>
      </c>
    </row>
    <row r="243" spans="1:9" x14ac:dyDescent="0.3">
      <c r="A243" t="s">
        <v>268</v>
      </c>
      <c r="B243" t="s">
        <v>33</v>
      </c>
      <c r="C243" t="s">
        <v>18</v>
      </c>
      <c r="D243">
        <v>94149</v>
      </c>
      <c r="E243">
        <v>97923</v>
      </c>
      <c r="F243" t="s">
        <v>26</v>
      </c>
      <c r="G243" t="str">
        <f t="shared" si="9"/>
        <v>High</v>
      </c>
      <c r="H243" t="str">
        <f t="shared" si="10"/>
        <v>Other</v>
      </c>
      <c r="I243" t="str">
        <f t="shared" si="11"/>
        <v>High Risk</v>
      </c>
    </row>
    <row r="244" spans="1:9" x14ac:dyDescent="0.3">
      <c r="A244" s="1" t="s">
        <v>269</v>
      </c>
      <c r="B244" s="1" t="s">
        <v>21</v>
      </c>
      <c r="C244" s="1" t="s">
        <v>22</v>
      </c>
      <c r="D244" s="1">
        <v>52459</v>
      </c>
      <c r="E244" s="1">
        <v>89422</v>
      </c>
      <c r="F244" s="1" t="s">
        <v>23</v>
      </c>
      <c r="G244" t="str">
        <f t="shared" si="9"/>
        <v>Medium</v>
      </c>
      <c r="H244" t="str">
        <f t="shared" si="10"/>
        <v>Other</v>
      </c>
      <c r="I244" t="str">
        <f t="shared" si="11"/>
        <v>Medium Risk</v>
      </c>
    </row>
    <row r="245" spans="1:9" x14ac:dyDescent="0.3">
      <c r="A245" t="s">
        <v>270</v>
      </c>
      <c r="B245" t="s">
        <v>33</v>
      </c>
      <c r="C245" t="s">
        <v>38</v>
      </c>
      <c r="D245">
        <v>103628</v>
      </c>
      <c r="E245">
        <v>52188</v>
      </c>
      <c r="F245" t="s">
        <v>26</v>
      </c>
      <c r="G245" t="str">
        <f t="shared" si="9"/>
        <v>High</v>
      </c>
      <c r="H245" t="str">
        <f t="shared" si="10"/>
        <v>Other</v>
      </c>
      <c r="I245" t="str">
        <f t="shared" si="11"/>
        <v>High Risk</v>
      </c>
    </row>
    <row r="246" spans="1:9" x14ac:dyDescent="0.3">
      <c r="A246" s="1" t="s">
        <v>271</v>
      </c>
      <c r="B246" s="1" t="s">
        <v>25</v>
      </c>
      <c r="C246" s="1" t="s">
        <v>38</v>
      </c>
      <c r="D246" s="1">
        <v>8463</v>
      </c>
      <c r="E246" s="1">
        <v>99673</v>
      </c>
      <c r="F246" s="1" t="s">
        <v>19</v>
      </c>
      <c r="G246" t="str">
        <f t="shared" si="9"/>
        <v>Low</v>
      </c>
      <c r="H246" t="str">
        <f t="shared" si="10"/>
        <v>Other</v>
      </c>
      <c r="I246" t="str">
        <f t="shared" si="11"/>
        <v>Low Risk</v>
      </c>
    </row>
    <row r="247" spans="1:9" x14ac:dyDescent="0.3">
      <c r="A247" t="s">
        <v>272</v>
      </c>
      <c r="B247" t="s">
        <v>33</v>
      </c>
      <c r="C247" t="s">
        <v>18</v>
      </c>
      <c r="D247">
        <v>118693</v>
      </c>
      <c r="E247">
        <v>90415</v>
      </c>
      <c r="F247" t="s">
        <v>19</v>
      </c>
      <c r="G247" t="str">
        <f t="shared" si="9"/>
        <v>High</v>
      </c>
      <c r="H247" t="str">
        <f t="shared" si="10"/>
        <v>Other</v>
      </c>
      <c r="I247" t="str">
        <f t="shared" si="11"/>
        <v>High Risk</v>
      </c>
    </row>
    <row r="248" spans="1:9" x14ac:dyDescent="0.3">
      <c r="A248" s="1" t="s">
        <v>273</v>
      </c>
      <c r="B248" s="1" t="s">
        <v>33</v>
      </c>
      <c r="C248" s="1" t="s">
        <v>18</v>
      </c>
      <c r="D248" s="1">
        <v>14947</v>
      </c>
      <c r="E248" s="1">
        <v>51423</v>
      </c>
      <c r="F248" s="1" t="s">
        <v>19</v>
      </c>
      <c r="G248" t="str">
        <f t="shared" si="9"/>
        <v>Low</v>
      </c>
      <c r="H248" t="str">
        <f t="shared" si="10"/>
        <v>Other</v>
      </c>
      <c r="I248" t="str">
        <f t="shared" si="11"/>
        <v>Low Risk</v>
      </c>
    </row>
    <row r="249" spans="1:9" x14ac:dyDescent="0.3">
      <c r="A249" t="s">
        <v>274</v>
      </c>
      <c r="B249" t="s">
        <v>25</v>
      </c>
      <c r="C249" t="s">
        <v>18</v>
      </c>
      <c r="D249">
        <v>8652</v>
      </c>
      <c r="E249">
        <v>52304</v>
      </c>
      <c r="F249" t="s">
        <v>19</v>
      </c>
      <c r="G249" t="str">
        <f t="shared" si="9"/>
        <v>Low</v>
      </c>
      <c r="H249" t="str">
        <f t="shared" si="10"/>
        <v>Other</v>
      </c>
      <c r="I249" t="str">
        <f t="shared" si="11"/>
        <v>Low Risk</v>
      </c>
    </row>
    <row r="250" spans="1:9" x14ac:dyDescent="0.3">
      <c r="A250" s="1" t="s">
        <v>275</v>
      </c>
      <c r="B250" s="1" t="s">
        <v>17</v>
      </c>
      <c r="C250" s="1" t="s">
        <v>22</v>
      </c>
      <c r="D250" s="1">
        <v>30788</v>
      </c>
      <c r="E250" s="1">
        <v>77933</v>
      </c>
      <c r="F250" s="1" t="s">
        <v>23</v>
      </c>
      <c r="G250" t="str">
        <f t="shared" si="9"/>
        <v>Low</v>
      </c>
      <c r="H250" t="str">
        <f t="shared" si="10"/>
        <v>Other</v>
      </c>
      <c r="I250" t="str">
        <f t="shared" si="11"/>
        <v>Low Risk</v>
      </c>
    </row>
    <row r="251" spans="1:9" x14ac:dyDescent="0.3">
      <c r="A251" t="s">
        <v>276</v>
      </c>
      <c r="B251" t="s">
        <v>33</v>
      </c>
      <c r="C251" t="s">
        <v>30</v>
      </c>
      <c r="D251">
        <v>55998</v>
      </c>
      <c r="E251">
        <v>91719</v>
      </c>
      <c r="F251" t="s">
        <v>23</v>
      </c>
      <c r="G251" t="str">
        <f t="shared" si="9"/>
        <v>Medium</v>
      </c>
      <c r="H251" t="str">
        <f t="shared" si="10"/>
        <v>Other</v>
      </c>
      <c r="I251" t="str">
        <f t="shared" si="11"/>
        <v>Medium Risk</v>
      </c>
    </row>
    <row r="252" spans="1:9" x14ac:dyDescent="0.3">
      <c r="A252" s="1" t="s">
        <v>277</v>
      </c>
      <c r="B252" s="1" t="s">
        <v>17</v>
      </c>
      <c r="C252" s="1" t="s">
        <v>22</v>
      </c>
      <c r="D252" s="1">
        <v>84188</v>
      </c>
      <c r="E252" s="1">
        <v>97267</v>
      </c>
      <c r="F252" s="1" t="s">
        <v>19</v>
      </c>
      <c r="G252" t="str">
        <f t="shared" si="9"/>
        <v>High</v>
      </c>
      <c r="H252" t="str">
        <f t="shared" si="10"/>
        <v>Other</v>
      </c>
      <c r="I252" t="str">
        <f t="shared" si="11"/>
        <v>High Risk</v>
      </c>
    </row>
    <row r="253" spans="1:9" x14ac:dyDescent="0.3">
      <c r="A253" t="s">
        <v>278</v>
      </c>
      <c r="B253" t="s">
        <v>17</v>
      </c>
      <c r="C253" t="s">
        <v>38</v>
      </c>
      <c r="D253">
        <v>51208</v>
      </c>
      <c r="E253">
        <v>91576</v>
      </c>
      <c r="F253" t="s">
        <v>26</v>
      </c>
      <c r="G253" t="str">
        <f t="shared" si="9"/>
        <v>Medium</v>
      </c>
      <c r="H253" t="str">
        <f t="shared" si="10"/>
        <v>Other</v>
      </c>
      <c r="I253" t="str">
        <f t="shared" si="11"/>
        <v>Medium Risk</v>
      </c>
    </row>
    <row r="254" spans="1:9" x14ac:dyDescent="0.3">
      <c r="A254" s="1" t="s">
        <v>279</v>
      </c>
      <c r="B254" s="1" t="s">
        <v>21</v>
      </c>
      <c r="C254" s="1" t="s">
        <v>18</v>
      </c>
      <c r="D254" s="1">
        <v>2579</v>
      </c>
      <c r="E254" s="1">
        <v>54666</v>
      </c>
      <c r="F254" s="1" t="s">
        <v>23</v>
      </c>
      <c r="G254" t="str">
        <f t="shared" si="9"/>
        <v>Low</v>
      </c>
      <c r="H254" t="str">
        <f t="shared" si="10"/>
        <v>Other</v>
      </c>
      <c r="I254" t="str">
        <f t="shared" si="11"/>
        <v>Low Risk</v>
      </c>
    </row>
    <row r="255" spans="1:9" x14ac:dyDescent="0.3">
      <c r="A255" t="s">
        <v>280</v>
      </c>
      <c r="B255" t="s">
        <v>25</v>
      </c>
      <c r="C255" t="s">
        <v>38</v>
      </c>
      <c r="D255">
        <v>77466</v>
      </c>
      <c r="E255">
        <v>53480</v>
      </c>
      <c r="F255" t="s">
        <v>23</v>
      </c>
      <c r="G255" t="str">
        <f t="shared" si="9"/>
        <v>Medium</v>
      </c>
      <c r="H255" t="str">
        <f t="shared" si="10"/>
        <v>Other</v>
      </c>
      <c r="I255" t="str">
        <f t="shared" si="11"/>
        <v>Medium Risk</v>
      </c>
    </row>
    <row r="256" spans="1:9" x14ac:dyDescent="0.3">
      <c r="A256" s="1" t="s">
        <v>281</v>
      </c>
      <c r="B256" s="1" t="s">
        <v>33</v>
      </c>
      <c r="C256" s="1" t="s">
        <v>30</v>
      </c>
      <c r="D256" s="1">
        <v>58144</v>
      </c>
      <c r="E256" s="1">
        <v>57553</v>
      </c>
      <c r="F256" s="1" t="s">
        <v>23</v>
      </c>
      <c r="G256" t="str">
        <f t="shared" si="9"/>
        <v>Medium</v>
      </c>
      <c r="H256" t="str">
        <f t="shared" si="10"/>
        <v>Other</v>
      </c>
      <c r="I256" t="str">
        <f t="shared" si="11"/>
        <v>Medium Risk</v>
      </c>
    </row>
    <row r="257" spans="1:9" x14ac:dyDescent="0.3">
      <c r="A257" t="s">
        <v>282</v>
      </c>
      <c r="B257" t="s">
        <v>21</v>
      </c>
      <c r="C257" t="s">
        <v>18</v>
      </c>
      <c r="D257">
        <v>67630</v>
      </c>
      <c r="E257">
        <v>96191</v>
      </c>
      <c r="F257" t="s">
        <v>23</v>
      </c>
      <c r="G257" t="str">
        <f t="shared" si="9"/>
        <v>Medium</v>
      </c>
      <c r="H257" t="str">
        <f t="shared" si="10"/>
        <v>Other</v>
      </c>
      <c r="I257" t="str">
        <f t="shared" si="11"/>
        <v>Medium Risk</v>
      </c>
    </row>
    <row r="258" spans="1:9" x14ac:dyDescent="0.3">
      <c r="A258" s="1" t="s">
        <v>283</v>
      </c>
      <c r="B258" s="1" t="s">
        <v>25</v>
      </c>
      <c r="C258" s="1" t="s">
        <v>18</v>
      </c>
      <c r="D258" s="1">
        <v>49337</v>
      </c>
      <c r="E258" s="1">
        <v>76695</v>
      </c>
      <c r="F258" s="1" t="s">
        <v>23</v>
      </c>
      <c r="G258" t="str">
        <f t="shared" si="9"/>
        <v>Medium</v>
      </c>
      <c r="H258" t="str">
        <f t="shared" si="10"/>
        <v>Other</v>
      </c>
      <c r="I258" t="str">
        <f t="shared" si="11"/>
        <v>Medium Risk</v>
      </c>
    </row>
    <row r="259" spans="1:9" x14ac:dyDescent="0.3">
      <c r="A259" t="s">
        <v>284</v>
      </c>
      <c r="B259" t="s">
        <v>25</v>
      </c>
      <c r="C259" t="s">
        <v>22</v>
      </c>
      <c r="D259">
        <v>91346</v>
      </c>
      <c r="E259">
        <v>91370</v>
      </c>
      <c r="F259" t="s">
        <v>23</v>
      </c>
      <c r="G259" t="str">
        <f t="shared" ref="G259:G301" si="12">IF(D259&gt;=80000,"High",IF(D259&gt;=40000,"Medium","Low"))</f>
        <v>High</v>
      </c>
      <c r="H259" t="str">
        <f t="shared" ref="H259:H301" si="13">IF(AND(D259&gt;=80000,F259="Approved"),"Approved High-Value","Other")</f>
        <v>Approved High-Value</v>
      </c>
      <c r="I259" t="str">
        <f t="shared" ref="I259:I301" si="14">IF(D259&gt;=80000,"High Risk",IF(D259&gt;=40000,"Medium Risk","Low Risk"))</f>
        <v>High Risk</v>
      </c>
    </row>
    <row r="260" spans="1:9" x14ac:dyDescent="0.3">
      <c r="A260" s="1" t="s">
        <v>285</v>
      </c>
      <c r="B260" s="1" t="s">
        <v>33</v>
      </c>
      <c r="C260" s="1" t="s">
        <v>30</v>
      </c>
      <c r="D260" s="1">
        <v>73593</v>
      </c>
      <c r="E260" s="1">
        <v>92591</v>
      </c>
      <c r="F260" s="1" t="s">
        <v>19</v>
      </c>
      <c r="G260" t="str">
        <f t="shared" si="12"/>
        <v>Medium</v>
      </c>
      <c r="H260" t="str">
        <f t="shared" si="13"/>
        <v>Other</v>
      </c>
      <c r="I260" t="str">
        <f t="shared" si="14"/>
        <v>Medium Risk</v>
      </c>
    </row>
    <row r="261" spans="1:9" x14ac:dyDescent="0.3">
      <c r="A261" t="s">
        <v>286</v>
      </c>
      <c r="B261" t="s">
        <v>33</v>
      </c>
      <c r="C261" t="s">
        <v>22</v>
      </c>
      <c r="D261">
        <v>62338</v>
      </c>
      <c r="E261">
        <v>87786</v>
      </c>
      <c r="F261" t="s">
        <v>23</v>
      </c>
      <c r="G261" t="str">
        <f t="shared" si="12"/>
        <v>Medium</v>
      </c>
      <c r="H261" t="str">
        <f t="shared" si="13"/>
        <v>Other</v>
      </c>
      <c r="I261" t="str">
        <f t="shared" si="14"/>
        <v>Medium Risk</v>
      </c>
    </row>
    <row r="262" spans="1:9" x14ac:dyDescent="0.3">
      <c r="A262" s="1" t="s">
        <v>287</v>
      </c>
      <c r="B262" s="1" t="s">
        <v>17</v>
      </c>
      <c r="C262" s="1" t="s">
        <v>38</v>
      </c>
      <c r="D262" s="1">
        <v>44988</v>
      </c>
      <c r="E262" s="1">
        <v>79176</v>
      </c>
      <c r="F262" s="1" t="s">
        <v>26</v>
      </c>
      <c r="G262" t="str">
        <f t="shared" si="12"/>
        <v>Medium</v>
      </c>
      <c r="H262" t="str">
        <f t="shared" si="13"/>
        <v>Other</v>
      </c>
      <c r="I262" t="str">
        <f t="shared" si="14"/>
        <v>Medium Risk</v>
      </c>
    </row>
    <row r="263" spans="1:9" x14ac:dyDescent="0.3">
      <c r="A263" t="s">
        <v>288</v>
      </c>
      <c r="B263" t="s">
        <v>25</v>
      </c>
      <c r="C263" t="s">
        <v>18</v>
      </c>
      <c r="D263">
        <v>60048</v>
      </c>
      <c r="E263">
        <v>67419</v>
      </c>
      <c r="F263" t="s">
        <v>26</v>
      </c>
      <c r="G263" t="str">
        <f t="shared" si="12"/>
        <v>Medium</v>
      </c>
      <c r="H263" t="str">
        <f t="shared" si="13"/>
        <v>Other</v>
      </c>
      <c r="I263" t="str">
        <f t="shared" si="14"/>
        <v>Medium Risk</v>
      </c>
    </row>
    <row r="264" spans="1:9" x14ac:dyDescent="0.3">
      <c r="A264" s="1" t="s">
        <v>289</v>
      </c>
      <c r="B264" s="1" t="s">
        <v>25</v>
      </c>
      <c r="C264" s="1" t="s">
        <v>18</v>
      </c>
      <c r="D264" s="1">
        <v>117980</v>
      </c>
      <c r="E264" s="1">
        <v>67829</v>
      </c>
      <c r="F264" s="1" t="s">
        <v>26</v>
      </c>
      <c r="G264" t="str">
        <f t="shared" si="12"/>
        <v>High</v>
      </c>
      <c r="H264" t="str">
        <f t="shared" si="13"/>
        <v>Other</v>
      </c>
      <c r="I264" t="str">
        <f t="shared" si="14"/>
        <v>High Risk</v>
      </c>
    </row>
    <row r="265" spans="1:9" x14ac:dyDescent="0.3">
      <c r="A265" t="s">
        <v>290</v>
      </c>
      <c r="B265" t="s">
        <v>25</v>
      </c>
      <c r="C265" t="s">
        <v>38</v>
      </c>
      <c r="D265">
        <v>27612</v>
      </c>
      <c r="E265">
        <v>78953</v>
      </c>
      <c r="F265" t="s">
        <v>26</v>
      </c>
      <c r="G265" t="str">
        <f t="shared" si="12"/>
        <v>Low</v>
      </c>
      <c r="H265" t="str">
        <f t="shared" si="13"/>
        <v>Other</v>
      </c>
      <c r="I265" t="str">
        <f t="shared" si="14"/>
        <v>Low Risk</v>
      </c>
    </row>
    <row r="266" spans="1:9" x14ac:dyDescent="0.3">
      <c r="A266" s="1" t="s">
        <v>291</v>
      </c>
      <c r="B266" s="1" t="s">
        <v>33</v>
      </c>
      <c r="C266" s="1" t="s">
        <v>22</v>
      </c>
      <c r="D266" s="1">
        <v>100213</v>
      </c>
      <c r="E266" s="1">
        <v>98504</v>
      </c>
      <c r="F266" s="1" t="s">
        <v>26</v>
      </c>
      <c r="G266" t="str">
        <f t="shared" si="12"/>
        <v>High</v>
      </c>
      <c r="H266" t="str">
        <f t="shared" si="13"/>
        <v>Other</v>
      </c>
      <c r="I266" t="str">
        <f t="shared" si="14"/>
        <v>High Risk</v>
      </c>
    </row>
    <row r="267" spans="1:9" x14ac:dyDescent="0.3">
      <c r="A267" t="s">
        <v>292</v>
      </c>
      <c r="B267" t="s">
        <v>25</v>
      </c>
      <c r="C267" t="s">
        <v>38</v>
      </c>
      <c r="D267">
        <v>110083</v>
      </c>
      <c r="E267">
        <v>57605</v>
      </c>
      <c r="F267" t="s">
        <v>19</v>
      </c>
      <c r="G267" t="str">
        <f t="shared" si="12"/>
        <v>High</v>
      </c>
      <c r="H267" t="str">
        <f t="shared" si="13"/>
        <v>Other</v>
      </c>
      <c r="I267" t="str">
        <f t="shared" si="14"/>
        <v>High Risk</v>
      </c>
    </row>
    <row r="268" spans="1:9" x14ac:dyDescent="0.3">
      <c r="A268" s="1" t="s">
        <v>293</v>
      </c>
      <c r="B268" s="1" t="s">
        <v>17</v>
      </c>
      <c r="C268" s="1" t="s">
        <v>38</v>
      </c>
      <c r="D268" s="1">
        <v>55304</v>
      </c>
      <c r="E268" s="1">
        <v>92038</v>
      </c>
      <c r="F268" s="1" t="s">
        <v>26</v>
      </c>
      <c r="G268" t="str">
        <f t="shared" si="12"/>
        <v>Medium</v>
      </c>
      <c r="H268" t="str">
        <f t="shared" si="13"/>
        <v>Other</v>
      </c>
      <c r="I268" t="str">
        <f t="shared" si="14"/>
        <v>Medium Risk</v>
      </c>
    </row>
    <row r="269" spans="1:9" x14ac:dyDescent="0.3">
      <c r="A269" t="s">
        <v>294</v>
      </c>
      <c r="B269" t="s">
        <v>33</v>
      </c>
      <c r="C269" t="s">
        <v>18</v>
      </c>
      <c r="D269">
        <v>75620</v>
      </c>
      <c r="E269">
        <v>58388</v>
      </c>
      <c r="F269" t="s">
        <v>19</v>
      </c>
      <c r="G269" t="str">
        <f t="shared" si="12"/>
        <v>Medium</v>
      </c>
      <c r="H269" t="str">
        <f t="shared" si="13"/>
        <v>Other</v>
      </c>
      <c r="I269" t="str">
        <f t="shared" si="14"/>
        <v>Medium Risk</v>
      </c>
    </row>
    <row r="270" spans="1:9" x14ac:dyDescent="0.3">
      <c r="A270" s="1" t="s">
        <v>295</v>
      </c>
      <c r="B270" s="1" t="s">
        <v>21</v>
      </c>
      <c r="C270" s="1" t="s">
        <v>30</v>
      </c>
      <c r="D270" s="1">
        <v>17030</v>
      </c>
      <c r="E270" s="1">
        <v>51815</v>
      </c>
      <c r="F270" s="1" t="s">
        <v>26</v>
      </c>
      <c r="G270" t="str">
        <f t="shared" si="12"/>
        <v>Low</v>
      </c>
      <c r="H270" t="str">
        <f t="shared" si="13"/>
        <v>Other</v>
      </c>
      <c r="I270" t="str">
        <f t="shared" si="14"/>
        <v>Low Risk</v>
      </c>
    </row>
    <row r="271" spans="1:9" x14ac:dyDescent="0.3">
      <c r="A271" t="s">
        <v>296</v>
      </c>
      <c r="B271" t="s">
        <v>33</v>
      </c>
      <c r="C271" t="s">
        <v>38</v>
      </c>
      <c r="D271">
        <v>87497</v>
      </c>
      <c r="E271">
        <v>93561</v>
      </c>
      <c r="F271" t="s">
        <v>26</v>
      </c>
      <c r="G271" t="str">
        <f t="shared" si="12"/>
        <v>High</v>
      </c>
      <c r="H271" t="str">
        <f t="shared" si="13"/>
        <v>Other</v>
      </c>
      <c r="I271" t="str">
        <f t="shared" si="14"/>
        <v>High Risk</v>
      </c>
    </row>
    <row r="272" spans="1:9" x14ac:dyDescent="0.3">
      <c r="A272" s="1" t="s">
        <v>297</v>
      </c>
      <c r="B272" s="1" t="s">
        <v>33</v>
      </c>
      <c r="C272" s="1" t="s">
        <v>22</v>
      </c>
      <c r="D272" s="1">
        <v>30113</v>
      </c>
      <c r="E272" s="1">
        <v>50894</v>
      </c>
      <c r="F272" s="1" t="s">
        <v>19</v>
      </c>
      <c r="G272" t="str">
        <f t="shared" si="12"/>
        <v>Low</v>
      </c>
      <c r="H272" t="str">
        <f t="shared" si="13"/>
        <v>Other</v>
      </c>
      <c r="I272" t="str">
        <f t="shared" si="14"/>
        <v>Low Risk</v>
      </c>
    </row>
    <row r="273" spans="1:9" x14ac:dyDescent="0.3">
      <c r="A273" t="s">
        <v>298</v>
      </c>
      <c r="B273" t="s">
        <v>33</v>
      </c>
      <c r="C273" t="s">
        <v>22</v>
      </c>
      <c r="D273">
        <v>11638</v>
      </c>
      <c r="E273">
        <v>56384</v>
      </c>
      <c r="F273" t="s">
        <v>23</v>
      </c>
      <c r="G273" t="str">
        <f t="shared" si="12"/>
        <v>Low</v>
      </c>
      <c r="H273" t="str">
        <f t="shared" si="13"/>
        <v>Other</v>
      </c>
      <c r="I273" t="str">
        <f t="shared" si="14"/>
        <v>Low Risk</v>
      </c>
    </row>
    <row r="274" spans="1:9" x14ac:dyDescent="0.3">
      <c r="A274" s="1" t="s">
        <v>299</v>
      </c>
      <c r="B274" s="1" t="s">
        <v>21</v>
      </c>
      <c r="C274" s="1" t="s">
        <v>38</v>
      </c>
      <c r="D274" s="1">
        <v>36649</v>
      </c>
      <c r="E274" s="1">
        <v>54232</v>
      </c>
      <c r="F274" s="1" t="s">
        <v>26</v>
      </c>
      <c r="G274" t="str">
        <f t="shared" si="12"/>
        <v>Low</v>
      </c>
      <c r="H274" t="str">
        <f t="shared" si="13"/>
        <v>Other</v>
      </c>
      <c r="I274" t="str">
        <f t="shared" si="14"/>
        <v>Low Risk</v>
      </c>
    </row>
    <row r="275" spans="1:9" x14ac:dyDescent="0.3">
      <c r="A275" t="s">
        <v>300</v>
      </c>
      <c r="B275" t="s">
        <v>33</v>
      </c>
      <c r="C275" t="s">
        <v>18</v>
      </c>
      <c r="D275">
        <v>77035</v>
      </c>
      <c r="E275">
        <v>92649</v>
      </c>
      <c r="F275" t="s">
        <v>23</v>
      </c>
      <c r="G275" t="str">
        <f t="shared" si="12"/>
        <v>Medium</v>
      </c>
      <c r="H275" t="str">
        <f t="shared" si="13"/>
        <v>Other</v>
      </c>
      <c r="I275" t="str">
        <f t="shared" si="14"/>
        <v>Medium Risk</v>
      </c>
    </row>
    <row r="276" spans="1:9" x14ac:dyDescent="0.3">
      <c r="A276" s="1" t="s">
        <v>301</v>
      </c>
      <c r="B276" s="1" t="s">
        <v>17</v>
      </c>
      <c r="C276" s="1" t="s">
        <v>30</v>
      </c>
      <c r="D276" s="1">
        <v>44411</v>
      </c>
      <c r="E276" s="1">
        <v>95780</v>
      </c>
      <c r="F276" s="1" t="s">
        <v>26</v>
      </c>
      <c r="G276" t="str">
        <f t="shared" si="12"/>
        <v>Medium</v>
      </c>
      <c r="H276" t="str">
        <f t="shared" si="13"/>
        <v>Other</v>
      </c>
      <c r="I276" t="str">
        <f t="shared" si="14"/>
        <v>Medium Risk</v>
      </c>
    </row>
    <row r="277" spans="1:9" x14ac:dyDescent="0.3">
      <c r="A277" t="s">
        <v>302</v>
      </c>
      <c r="B277" t="s">
        <v>33</v>
      </c>
      <c r="C277" t="s">
        <v>18</v>
      </c>
      <c r="D277">
        <v>66447</v>
      </c>
      <c r="E277">
        <v>53443</v>
      </c>
      <c r="F277" t="s">
        <v>19</v>
      </c>
      <c r="G277" t="str">
        <f t="shared" si="12"/>
        <v>Medium</v>
      </c>
      <c r="H277" t="str">
        <f t="shared" si="13"/>
        <v>Other</v>
      </c>
      <c r="I277" t="str">
        <f t="shared" si="14"/>
        <v>Medium Risk</v>
      </c>
    </row>
    <row r="278" spans="1:9" x14ac:dyDescent="0.3">
      <c r="A278" s="1" t="s">
        <v>303</v>
      </c>
      <c r="B278" s="1" t="s">
        <v>21</v>
      </c>
      <c r="C278" s="1" t="s">
        <v>18</v>
      </c>
      <c r="D278" s="1">
        <v>64908</v>
      </c>
      <c r="E278" s="1">
        <v>98780</v>
      </c>
      <c r="F278" s="1" t="s">
        <v>23</v>
      </c>
      <c r="G278" t="str">
        <f t="shared" si="12"/>
        <v>Medium</v>
      </c>
      <c r="H278" t="str">
        <f t="shared" si="13"/>
        <v>Other</v>
      </c>
      <c r="I278" t="str">
        <f t="shared" si="14"/>
        <v>Medium Risk</v>
      </c>
    </row>
    <row r="279" spans="1:9" x14ac:dyDescent="0.3">
      <c r="A279" t="s">
        <v>304</v>
      </c>
      <c r="B279" t="s">
        <v>33</v>
      </c>
      <c r="C279" t="s">
        <v>22</v>
      </c>
      <c r="D279">
        <v>51742</v>
      </c>
      <c r="E279">
        <v>67017</v>
      </c>
      <c r="F279" t="s">
        <v>26</v>
      </c>
      <c r="G279" t="str">
        <f t="shared" si="12"/>
        <v>Medium</v>
      </c>
      <c r="H279" t="str">
        <f t="shared" si="13"/>
        <v>Other</v>
      </c>
      <c r="I279" t="str">
        <f t="shared" si="14"/>
        <v>Medium Risk</v>
      </c>
    </row>
    <row r="280" spans="1:9" x14ac:dyDescent="0.3">
      <c r="A280" s="1" t="s">
        <v>305</v>
      </c>
      <c r="B280" s="1" t="s">
        <v>33</v>
      </c>
      <c r="C280" s="1" t="s">
        <v>30</v>
      </c>
      <c r="D280" s="1">
        <v>67769</v>
      </c>
      <c r="E280" s="1">
        <v>85563</v>
      </c>
      <c r="F280" s="1" t="s">
        <v>23</v>
      </c>
      <c r="G280" t="str">
        <f t="shared" si="12"/>
        <v>Medium</v>
      </c>
      <c r="H280" t="str">
        <f t="shared" si="13"/>
        <v>Other</v>
      </c>
      <c r="I280" t="str">
        <f t="shared" si="14"/>
        <v>Medium Risk</v>
      </c>
    </row>
    <row r="281" spans="1:9" x14ac:dyDescent="0.3">
      <c r="A281" t="s">
        <v>306</v>
      </c>
      <c r="B281" t="s">
        <v>21</v>
      </c>
      <c r="C281" t="s">
        <v>38</v>
      </c>
      <c r="D281">
        <v>41472</v>
      </c>
      <c r="E281">
        <v>54799</v>
      </c>
      <c r="F281" t="s">
        <v>26</v>
      </c>
      <c r="G281" t="str">
        <f t="shared" si="12"/>
        <v>Medium</v>
      </c>
      <c r="H281" t="str">
        <f t="shared" si="13"/>
        <v>Other</v>
      </c>
      <c r="I281" t="str">
        <f t="shared" si="14"/>
        <v>Medium Risk</v>
      </c>
    </row>
    <row r="282" spans="1:9" x14ac:dyDescent="0.3">
      <c r="A282" s="1" t="s">
        <v>307</v>
      </c>
      <c r="B282" s="1" t="s">
        <v>33</v>
      </c>
      <c r="C282" s="1" t="s">
        <v>22</v>
      </c>
      <c r="D282" s="1">
        <v>44512</v>
      </c>
      <c r="E282" s="1">
        <v>90219</v>
      </c>
      <c r="F282" s="1" t="s">
        <v>26</v>
      </c>
      <c r="G282" t="str">
        <f t="shared" si="12"/>
        <v>Medium</v>
      </c>
      <c r="H282" t="str">
        <f t="shared" si="13"/>
        <v>Other</v>
      </c>
      <c r="I282" t="str">
        <f t="shared" si="14"/>
        <v>Medium Risk</v>
      </c>
    </row>
    <row r="283" spans="1:9" x14ac:dyDescent="0.3">
      <c r="A283" t="s">
        <v>308</v>
      </c>
      <c r="B283" t="s">
        <v>33</v>
      </c>
      <c r="C283" t="s">
        <v>30</v>
      </c>
      <c r="D283">
        <v>13751</v>
      </c>
      <c r="E283">
        <v>65124</v>
      </c>
      <c r="F283" t="s">
        <v>19</v>
      </c>
      <c r="G283" t="str">
        <f t="shared" si="12"/>
        <v>Low</v>
      </c>
      <c r="H283" t="str">
        <f t="shared" si="13"/>
        <v>Other</v>
      </c>
      <c r="I283" t="str">
        <f t="shared" si="14"/>
        <v>Low Risk</v>
      </c>
    </row>
    <row r="284" spans="1:9" x14ac:dyDescent="0.3">
      <c r="A284" s="1" t="s">
        <v>309</v>
      </c>
      <c r="B284" s="1" t="s">
        <v>33</v>
      </c>
      <c r="C284" s="1" t="s">
        <v>18</v>
      </c>
      <c r="D284" s="1">
        <v>68813</v>
      </c>
      <c r="E284" s="1">
        <v>98309</v>
      </c>
      <c r="F284" s="1" t="s">
        <v>19</v>
      </c>
      <c r="G284" t="str">
        <f t="shared" si="12"/>
        <v>Medium</v>
      </c>
      <c r="H284" t="str">
        <f t="shared" si="13"/>
        <v>Other</v>
      </c>
      <c r="I284" t="str">
        <f t="shared" si="14"/>
        <v>Medium Risk</v>
      </c>
    </row>
    <row r="285" spans="1:9" x14ac:dyDescent="0.3">
      <c r="A285" t="s">
        <v>310</v>
      </c>
      <c r="B285" t="s">
        <v>17</v>
      </c>
      <c r="C285" t="s">
        <v>30</v>
      </c>
      <c r="D285">
        <v>101752</v>
      </c>
      <c r="E285">
        <v>81051</v>
      </c>
      <c r="F285" t="s">
        <v>23</v>
      </c>
      <c r="G285" t="str">
        <f t="shared" si="12"/>
        <v>High</v>
      </c>
      <c r="H285" t="str">
        <f t="shared" si="13"/>
        <v>Approved High-Value</v>
      </c>
      <c r="I285" t="str">
        <f t="shared" si="14"/>
        <v>High Risk</v>
      </c>
    </row>
    <row r="286" spans="1:9" x14ac:dyDescent="0.3">
      <c r="A286" s="1" t="s">
        <v>311</v>
      </c>
      <c r="B286" s="1" t="s">
        <v>17</v>
      </c>
      <c r="C286" s="1" t="s">
        <v>18</v>
      </c>
      <c r="D286" s="1">
        <v>47281</v>
      </c>
      <c r="E286" s="1">
        <v>76318</v>
      </c>
      <c r="F286" s="1" t="s">
        <v>26</v>
      </c>
      <c r="G286" t="str">
        <f t="shared" si="12"/>
        <v>Medium</v>
      </c>
      <c r="H286" t="str">
        <f t="shared" si="13"/>
        <v>Other</v>
      </c>
      <c r="I286" t="str">
        <f t="shared" si="14"/>
        <v>Medium Risk</v>
      </c>
    </row>
    <row r="287" spans="1:9" x14ac:dyDescent="0.3">
      <c r="A287" t="s">
        <v>312</v>
      </c>
      <c r="B287" t="s">
        <v>33</v>
      </c>
      <c r="C287" t="s">
        <v>38</v>
      </c>
      <c r="D287">
        <v>109109</v>
      </c>
      <c r="E287">
        <v>53744</v>
      </c>
      <c r="F287" t="s">
        <v>26</v>
      </c>
      <c r="G287" t="str">
        <f t="shared" si="12"/>
        <v>High</v>
      </c>
      <c r="H287" t="str">
        <f t="shared" si="13"/>
        <v>Other</v>
      </c>
      <c r="I287" t="str">
        <f t="shared" si="14"/>
        <v>High Risk</v>
      </c>
    </row>
    <row r="288" spans="1:9" x14ac:dyDescent="0.3">
      <c r="A288" s="1" t="s">
        <v>313</v>
      </c>
      <c r="B288" s="1" t="s">
        <v>17</v>
      </c>
      <c r="C288" s="1" t="s">
        <v>22</v>
      </c>
      <c r="D288" s="1">
        <v>72295</v>
      </c>
      <c r="E288" s="1">
        <v>83544</v>
      </c>
      <c r="F288" s="1" t="s">
        <v>23</v>
      </c>
      <c r="G288" t="str">
        <f t="shared" si="12"/>
        <v>Medium</v>
      </c>
      <c r="H288" t="str">
        <f t="shared" si="13"/>
        <v>Other</v>
      </c>
      <c r="I288" t="str">
        <f t="shared" si="14"/>
        <v>Medium Risk</v>
      </c>
    </row>
    <row r="289" spans="1:9" x14ac:dyDescent="0.3">
      <c r="A289" t="s">
        <v>314</v>
      </c>
      <c r="B289" t="s">
        <v>33</v>
      </c>
      <c r="C289" t="s">
        <v>38</v>
      </c>
      <c r="D289">
        <v>49342</v>
      </c>
      <c r="E289">
        <v>57704</v>
      </c>
      <c r="F289" t="s">
        <v>26</v>
      </c>
      <c r="G289" t="str">
        <f t="shared" si="12"/>
        <v>Medium</v>
      </c>
      <c r="H289" t="str">
        <f t="shared" si="13"/>
        <v>Other</v>
      </c>
      <c r="I289" t="str">
        <f t="shared" si="14"/>
        <v>Medium Risk</v>
      </c>
    </row>
    <row r="290" spans="1:9" x14ac:dyDescent="0.3">
      <c r="A290" s="1" t="s">
        <v>315</v>
      </c>
      <c r="B290" s="1" t="s">
        <v>33</v>
      </c>
      <c r="C290" s="1" t="s">
        <v>30</v>
      </c>
      <c r="D290" s="1">
        <v>89010</v>
      </c>
      <c r="E290" s="1">
        <v>70164</v>
      </c>
      <c r="F290" s="1" t="s">
        <v>23</v>
      </c>
      <c r="G290" t="str">
        <f t="shared" si="12"/>
        <v>High</v>
      </c>
      <c r="H290" t="str">
        <f t="shared" si="13"/>
        <v>Approved High-Value</v>
      </c>
      <c r="I290" t="str">
        <f t="shared" si="14"/>
        <v>High Risk</v>
      </c>
    </row>
    <row r="291" spans="1:9" x14ac:dyDescent="0.3">
      <c r="A291" t="s">
        <v>316</v>
      </c>
      <c r="B291" t="s">
        <v>25</v>
      </c>
      <c r="C291" t="s">
        <v>30</v>
      </c>
      <c r="D291">
        <v>77091</v>
      </c>
      <c r="E291">
        <v>94009</v>
      </c>
      <c r="F291" t="s">
        <v>23</v>
      </c>
      <c r="G291" t="str">
        <f t="shared" si="12"/>
        <v>Medium</v>
      </c>
      <c r="H291" t="str">
        <f t="shared" si="13"/>
        <v>Other</v>
      </c>
      <c r="I291" t="str">
        <f t="shared" si="14"/>
        <v>Medium Risk</v>
      </c>
    </row>
    <row r="292" spans="1:9" x14ac:dyDescent="0.3">
      <c r="A292" s="1" t="s">
        <v>317</v>
      </c>
      <c r="B292" s="1" t="s">
        <v>21</v>
      </c>
      <c r="C292" s="1" t="s">
        <v>38</v>
      </c>
      <c r="D292" s="1">
        <v>84315</v>
      </c>
      <c r="E292" s="1">
        <v>91118</v>
      </c>
      <c r="F292" s="1" t="s">
        <v>23</v>
      </c>
      <c r="G292" t="str">
        <f t="shared" si="12"/>
        <v>High</v>
      </c>
      <c r="H292" t="str">
        <f t="shared" si="13"/>
        <v>Approved High-Value</v>
      </c>
      <c r="I292" t="str">
        <f t="shared" si="14"/>
        <v>High Risk</v>
      </c>
    </row>
    <row r="293" spans="1:9" x14ac:dyDescent="0.3">
      <c r="A293" t="s">
        <v>318</v>
      </c>
      <c r="B293" t="s">
        <v>33</v>
      </c>
      <c r="C293" t="s">
        <v>30</v>
      </c>
      <c r="D293">
        <v>119809</v>
      </c>
      <c r="E293">
        <v>71454</v>
      </c>
      <c r="F293" t="s">
        <v>23</v>
      </c>
      <c r="G293" t="str">
        <f t="shared" si="12"/>
        <v>High</v>
      </c>
      <c r="H293" t="str">
        <f t="shared" si="13"/>
        <v>Approved High-Value</v>
      </c>
      <c r="I293" t="str">
        <f t="shared" si="14"/>
        <v>High Risk</v>
      </c>
    </row>
    <row r="294" spans="1:9" x14ac:dyDescent="0.3">
      <c r="A294" s="1" t="s">
        <v>319</v>
      </c>
      <c r="B294" s="1" t="s">
        <v>21</v>
      </c>
      <c r="C294" s="1" t="s">
        <v>22</v>
      </c>
      <c r="D294" s="1">
        <v>95110</v>
      </c>
      <c r="E294" s="1">
        <v>69388</v>
      </c>
      <c r="F294" s="1" t="s">
        <v>26</v>
      </c>
      <c r="G294" t="str">
        <f t="shared" si="12"/>
        <v>High</v>
      </c>
      <c r="H294" t="str">
        <f t="shared" si="13"/>
        <v>Other</v>
      </c>
      <c r="I294" t="str">
        <f t="shared" si="14"/>
        <v>High Risk</v>
      </c>
    </row>
    <row r="295" spans="1:9" x14ac:dyDescent="0.3">
      <c r="A295" t="s">
        <v>320</v>
      </c>
      <c r="B295" t="s">
        <v>17</v>
      </c>
      <c r="C295" t="s">
        <v>38</v>
      </c>
      <c r="D295">
        <v>3639</v>
      </c>
      <c r="E295">
        <v>89167</v>
      </c>
      <c r="F295" t="s">
        <v>19</v>
      </c>
      <c r="G295" t="str">
        <f t="shared" si="12"/>
        <v>Low</v>
      </c>
      <c r="H295" t="str">
        <f t="shared" si="13"/>
        <v>Other</v>
      </c>
      <c r="I295" t="str">
        <f t="shared" si="14"/>
        <v>Low Risk</v>
      </c>
    </row>
    <row r="296" spans="1:9" x14ac:dyDescent="0.3">
      <c r="A296" s="1" t="s">
        <v>321</v>
      </c>
      <c r="B296" s="1" t="s">
        <v>25</v>
      </c>
      <c r="C296" s="1" t="s">
        <v>38</v>
      </c>
      <c r="D296" s="1">
        <v>57229</v>
      </c>
      <c r="E296" s="1">
        <v>94090</v>
      </c>
      <c r="F296" s="1" t="s">
        <v>23</v>
      </c>
      <c r="G296" t="str">
        <f t="shared" si="12"/>
        <v>Medium</v>
      </c>
      <c r="H296" t="str">
        <f t="shared" si="13"/>
        <v>Other</v>
      </c>
      <c r="I296" t="str">
        <f t="shared" si="14"/>
        <v>Medium Risk</v>
      </c>
    </row>
    <row r="297" spans="1:9" x14ac:dyDescent="0.3">
      <c r="A297" t="s">
        <v>322</v>
      </c>
      <c r="B297" t="s">
        <v>25</v>
      </c>
      <c r="C297" t="s">
        <v>18</v>
      </c>
      <c r="D297">
        <v>101300</v>
      </c>
      <c r="E297">
        <v>88351</v>
      </c>
      <c r="F297" t="s">
        <v>26</v>
      </c>
      <c r="G297" t="str">
        <f t="shared" si="12"/>
        <v>High</v>
      </c>
      <c r="H297" t="str">
        <f t="shared" si="13"/>
        <v>Other</v>
      </c>
      <c r="I297" t="str">
        <f t="shared" si="14"/>
        <v>High Risk</v>
      </c>
    </row>
    <row r="298" spans="1:9" x14ac:dyDescent="0.3">
      <c r="A298" s="1" t="s">
        <v>323</v>
      </c>
      <c r="B298" s="1" t="s">
        <v>21</v>
      </c>
      <c r="C298" s="1" t="s">
        <v>22</v>
      </c>
      <c r="D298" s="1">
        <v>77573</v>
      </c>
      <c r="E298" s="1">
        <v>93783</v>
      </c>
      <c r="F298" s="1" t="s">
        <v>19</v>
      </c>
      <c r="G298" t="str">
        <f t="shared" si="12"/>
        <v>Medium</v>
      </c>
      <c r="H298" t="str">
        <f t="shared" si="13"/>
        <v>Other</v>
      </c>
      <c r="I298" t="str">
        <f t="shared" si="14"/>
        <v>Medium Risk</v>
      </c>
    </row>
    <row r="299" spans="1:9" x14ac:dyDescent="0.3">
      <c r="A299" t="s">
        <v>324</v>
      </c>
      <c r="B299" t="s">
        <v>25</v>
      </c>
      <c r="C299" t="s">
        <v>18</v>
      </c>
      <c r="D299">
        <v>118562</v>
      </c>
      <c r="E299">
        <v>65978</v>
      </c>
      <c r="F299" t="s">
        <v>23</v>
      </c>
      <c r="G299" t="str">
        <f t="shared" si="12"/>
        <v>High</v>
      </c>
      <c r="H299" t="str">
        <f t="shared" si="13"/>
        <v>Approved High-Value</v>
      </c>
      <c r="I299" t="str">
        <f t="shared" si="14"/>
        <v>High Risk</v>
      </c>
    </row>
    <row r="300" spans="1:9" x14ac:dyDescent="0.3">
      <c r="A300" s="1" t="s">
        <v>325</v>
      </c>
      <c r="B300" s="1" t="s">
        <v>25</v>
      </c>
      <c r="C300" s="1" t="s">
        <v>30</v>
      </c>
      <c r="D300" s="1">
        <v>56905</v>
      </c>
      <c r="E300" s="1">
        <v>89794</v>
      </c>
      <c r="F300" s="1" t="s">
        <v>23</v>
      </c>
      <c r="G300" t="str">
        <f t="shared" si="12"/>
        <v>Medium</v>
      </c>
      <c r="H300" t="str">
        <f t="shared" si="13"/>
        <v>Other</v>
      </c>
      <c r="I300" t="str">
        <f t="shared" si="14"/>
        <v>Medium Risk</v>
      </c>
    </row>
    <row r="301" spans="1:9" ht="15" thickBot="1" x14ac:dyDescent="0.35">
      <c r="A301" s="4" t="s">
        <v>326</v>
      </c>
      <c r="B301" s="4" t="s">
        <v>17</v>
      </c>
      <c r="C301" s="4" t="s">
        <v>38</v>
      </c>
      <c r="D301" s="4">
        <v>29188</v>
      </c>
      <c r="E301" s="4">
        <v>54600</v>
      </c>
      <c r="F301" s="4" t="s">
        <v>23</v>
      </c>
      <c r="G301" t="str">
        <f t="shared" si="12"/>
        <v>Low</v>
      </c>
      <c r="H301" t="str">
        <f t="shared" si="13"/>
        <v>Other</v>
      </c>
      <c r="I301" t="str">
        <f t="shared" si="14"/>
        <v>Low Risk</v>
      </c>
    </row>
  </sheetData>
  <autoFilter ref="A1:F301" xr:uid="{00000000-0001-0000-0100-000000000000}"/>
  <pageMargins left="0.75" right="0.75" top="1" bottom="1" header="0.5" footer="0.5"/>
  <pageSetup orientation="portrait" r:id="rId1"/>
  <colBreaks count="1" manualBreakCount="1">
    <brk id="6" max="30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A13"/>
  <sheetViews>
    <sheetView workbookViewId="0">
      <selection activeCell="A8" sqref="A8:A13"/>
    </sheetView>
  </sheetViews>
  <sheetFormatPr defaultRowHeight="14.4" x14ac:dyDescent="0.3"/>
  <cols>
    <col min="1" max="1" width="120" customWidth="1"/>
  </cols>
  <sheetData>
    <row r="1" spans="1:1" x14ac:dyDescent="0.3">
      <c r="A1" s="5" t="s">
        <v>327</v>
      </c>
    </row>
    <row r="3" spans="1:1" x14ac:dyDescent="0.3">
      <c r="A3" t="s">
        <v>811</v>
      </c>
    </row>
    <row r="5" spans="1:1" x14ac:dyDescent="0.3">
      <c r="A5" t="s">
        <v>1</v>
      </c>
    </row>
    <row r="6" spans="1:1" x14ac:dyDescent="0.3">
      <c r="A6" t="s">
        <v>328</v>
      </c>
    </row>
    <row r="7" spans="1:1" x14ac:dyDescent="0.3">
      <c r="A7" t="s">
        <v>329</v>
      </c>
    </row>
    <row r="8" spans="1:1" x14ac:dyDescent="0.3">
      <c r="A8" t="s">
        <v>330</v>
      </c>
    </row>
    <row r="9" spans="1:1" x14ac:dyDescent="0.3">
      <c r="A9" t="s">
        <v>331</v>
      </c>
    </row>
    <row r="10" spans="1:1" x14ac:dyDescent="0.3">
      <c r="A10" t="s">
        <v>332</v>
      </c>
    </row>
    <row r="11" spans="1:1" x14ac:dyDescent="0.3">
      <c r="A11" t="s">
        <v>333</v>
      </c>
    </row>
    <row r="12" spans="1:1" x14ac:dyDescent="0.3">
      <c r="A12" t="s">
        <v>334</v>
      </c>
    </row>
    <row r="13" spans="1:1" x14ac:dyDescent="0.3">
      <c r="A13" t="s">
        <v>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N251"/>
  <sheetViews>
    <sheetView topLeftCell="B1" workbookViewId="0">
      <selection activeCell="G2" sqref="G2:I251"/>
    </sheetView>
  </sheetViews>
  <sheetFormatPr defaultRowHeight="14.4" x14ac:dyDescent="0.3"/>
  <cols>
    <col min="1" max="6" width="18" customWidth="1"/>
    <col min="7" max="7" width="10.21875" bestFit="1" customWidth="1"/>
    <col min="9" max="9" width="9" bestFit="1" customWidth="1"/>
    <col min="10" max="10" width="9" customWidth="1"/>
    <col min="11" max="11" width="56.33203125" bestFit="1" customWidth="1"/>
    <col min="12" max="12" width="15.5546875" customWidth="1"/>
    <col min="13" max="13" width="9.88671875" bestFit="1" customWidth="1"/>
  </cols>
  <sheetData>
    <row r="1" spans="1:14" ht="15" thickBot="1" x14ac:dyDescent="0.35">
      <c r="A1" s="5" t="s">
        <v>336</v>
      </c>
      <c r="B1" s="5" t="s">
        <v>11</v>
      </c>
      <c r="C1" s="5" t="s">
        <v>337</v>
      </c>
      <c r="D1" s="5" t="s">
        <v>338</v>
      </c>
      <c r="E1" s="5" t="s">
        <v>339</v>
      </c>
      <c r="F1" s="5" t="s">
        <v>340</v>
      </c>
      <c r="G1" s="13" t="s">
        <v>837</v>
      </c>
      <c r="H1" s="13" t="s">
        <v>838</v>
      </c>
      <c r="I1" s="13" t="s">
        <v>839</v>
      </c>
      <c r="J1" s="13"/>
    </row>
    <row r="2" spans="1:14" x14ac:dyDescent="0.3">
      <c r="A2" s="3" t="s">
        <v>341</v>
      </c>
      <c r="B2" s="3" t="s">
        <v>25</v>
      </c>
      <c r="C2" s="3" t="s">
        <v>342</v>
      </c>
      <c r="D2" s="3">
        <v>50202</v>
      </c>
      <c r="E2" s="3">
        <v>20</v>
      </c>
      <c r="F2" s="3"/>
      <c r="G2" s="17" t="str">
        <f>IF(F2&gt;=3,"Eligible","Not Eligible")</f>
        <v>Not Eligible</v>
      </c>
      <c r="H2" s="17" t="str">
        <f>IF(OR(F2&lt;=2,E2&lt;18),"Alert","Normal")</f>
        <v>Alert</v>
      </c>
      <c r="I2" s="17" t="str">
        <f>IF(F2=5,"Excellent",IF(F2=4,"Good",IF(F2=3,"Average",IF(F2=2,"Poor",IF(F2=1,"Very Poor","No Rating")))))</f>
        <v>No Rating</v>
      </c>
    </row>
    <row r="3" spans="1:14" x14ac:dyDescent="0.3">
      <c r="A3" t="s">
        <v>343</v>
      </c>
      <c r="B3" t="s">
        <v>25</v>
      </c>
      <c r="C3" t="s">
        <v>342</v>
      </c>
      <c r="D3">
        <v>90708</v>
      </c>
      <c r="E3">
        <v>17</v>
      </c>
      <c r="G3" s="17" t="str">
        <f t="shared" ref="G3:G66" si="0">IF(F3&gt;=3,"Eligible","Not Eligible")</f>
        <v>Not Eligible</v>
      </c>
      <c r="H3" s="17" t="str">
        <f t="shared" ref="H3:H66" si="1">IF(OR(F3&lt;=2,E3&lt;18),"Alert","Normal")</f>
        <v>Alert</v>
      </c>
      <c r="I3" s="17" t="str">
        <f t="shared" ref="I3:I66" si="2">IF(F3=5,"Excellent",IF(F3=4,"Good",IF(F3=3,"Average",IF(F3=2,"Poor",IF(F3=1,"Very Poor","No Rating")))))</f>
        <v>No Rating</v>
      </c>
    </row>
    <row r="4" spans="1:14" x14ac:dyDescent="0.3">
      <c r="A4" s="1" t="s">
        <v>344</v>
      </c>
      <c r="B4" s="1" t="s">
        <v>21</v>
      </c>
      <c r="C4" s="1" t="s">
        <v>345</v>
      </c>
      <c r="D4" s="1">
        <v>67567</v>
      </c>
      <c r="E4" s="1">
        <v>16</v>
      </c>
      <c r="F4" s="1">
        <v>3</v>
      </c>
      <c r="G4" s="17" t="str">
        <f t="shared" si="0"/>
        <v>Eligible</v>
      </c>
      <c r="H4" s="17" t="str">
        <f t="shared" si="1"/>
        <v>Alert</v>
      </c>
      <c r="I4" s="17" t="str">
        <f t="shared" si="2"/>
        <v>Average</v>
      </c>
    </row>
    <row r="5" spans="1:14" x14ac:dyDescent="0.3">
      <c r="A5" t="s">
        <v>346</v>
      </c>
      <c r="B5" t="s">
        <v>17</v>
      </c>
      <c r="C5" t="s">
        <v>347</v>
      </c>
      <c r="D5">
        <v>32875</v>
      </c>
      <c r="E5">
        <v>25</v>
      </c>
      <c r="G5" s="17" t="str">
        <f t="shared" si="0"/>
        <v>Not Eligible</v>
      </c>
      <c r="H5" s="17" t="str">
        <f t="shared" si="1"/>
        <v>Alert</v>
      </c>
      <c r="I5" s="17" t="str">
        <f t="shared" si="2"/>
        <v>No Rating</v>
      </c>
    </row>
    <row r="6" spans="1:14" x14ac:dyDescent="0.3">
      <c r="A6" s="1" t="s">
        <v>348</v>
      </c>
      <c r="B6" s="1" t="s">
        <v>25</v>
      </c>
      <c r="C6" s="1" t="s">
        <v>349</v>
      </c>
      <c r="D6" s="1">
        <v>128509</v>
      </c>
      <c r="E6" s="1">
        <v>21</v>
      </c>
      <c r="F6" s="1">
        <v>2</v>
      </c>
      <c r="G6" s="17" t="str">
        <f t="shared" si="0"/>
        <v>Not Eligible</v>
      </c>
      <c r="H6" s="17" t="str">
        <f t="shared" si="1"/>
        <v>Alert</v>
      </c>
      <c r="I6" s="17" t="str">
        <f t="shared" si="2"/>
        <v>Poor</v>
      </c>
      <c r="K6" s="10" t="s">
        <v>328</v>
      </c>
      <c r="L6" s="10"/>
      <c r="M6" s="10"/>
      <c r="N6" s="10"/>
    </row>
    <row r="7" spans="1:14" x14ac:dyDescent="0.3">
      <c r="A7" t="s">
        <v>350</v>
      </c>
      <c r="B7" t="s">
        <v>33</v>
      </c>
      <c r="C7" t="s">
        <v>342</v>
      </c>
      <c r="D7">
        <v>40571</v>
      </c>
      <c r="E7">
        <v>17</v>
      </c>
      <c r="F7">
        <v>5</v>
      </c>
      <c r="G7" s="17" t="str">
        <f t="shared" si="0"/>
        <v>Eligible</v>
      </c>
      <c r="H7" s="17" t="str">
        <f t="shared" si="1"/>
        <v>Alert</v>
      </c>
      <c r="I7" s="17" t="str">
        <f t="shared" si="2"/>
        <v>Excellent</v>
      </c>
      <c r="K7" s="10" t="s">
        <v>831</v>
      </c>
      <c r="L7" s="10">
        <f>SUM(D2:D251)</f>
        <v>21954845</v>
      </c>
      <c r="M7" s="10"/>
      <c r="N7" s="10"/>
    </row>
    <row r="8" spans="1:14" x14ac:dyDescent="0.3">
      <c r="A8" s="1" t="s">
        <v>351</v>
      </c>
      <c r="B8" s="1" t="s">
        <v>25</v>
      </c>
      <c r="C8" s="1" t="s">
        <v>349</v>
      </c>
      <c r="D8" s="1">
        <v>60972</v>
      </c>
      <c r="E8" s="1">
        <v>26</v>
      </c>
      <c r="F8" s="1">
        <v>2</v>
      </c>
      <c r="G8" s="17" t="str">
        <f t="shared" si="0"/>
        <v>Not Eligible</v>
      </c>
      <c r="H8" s="17" t="str">
        <f t="shared" si="1"/>
        <v>Alert</v>
      </c>
      <c r="I8" s="17" t="str">
        <f t="shared" si="2"/>
        <v>Poor</v>
      </c>
      <c r="K8" s="10" t="s">
        <v>832</v>
      </c>
      <c r="L8" s="10">
        <f>AVERAGE(D2:D251)</f>
        <v>87819.38</v>
      </c>
      <c r="M8" s="10"/>
      <c r="N8" s="10"/>
    </row>
    <row r="9" spans="1:14" x14ac:dyDescent="0.3">
      <c r="A9" t="s">
        <v>352</v>
      </c>
      <c r="B9" t="s">
        <v>33</v>
      </c>
      <c r="C9" t="s">
        <v>345</v>
      </c>
      <c r="D9">
        <v>114190</v>
      </c>
      <c r="E9">
        <v>20</v>
      </c>
      <c r="G9" s="17" t="str">
        <f t="shared" si="0"/>
        <v>Not Eligible</v>
      </c>
      <c r="H9" s="17" t="str">
        <f t="shared" si="1"/>
        <v>Alert</v>
      </c>
      <c r="I9" s="17" t="str">
        <f t="shared" si="2"/>
        <v>No Rating</v>
      </c>
      <c r="K9" s="10"/>
      <c r="L9" s="10"/>
      <c r="M9" s="10"/>
      <c r="N9" s="10"/>
    </row>
    <row r="10" spans="1:14" x14ac:dyDescent="0.3">
      <c r="A10" s="1" t="s">
        <v>353</v>
      </c>
      <c r="B10" s="1" t="s">
        <v>25</v>
      </c>
      <c r="C10" s="1" t="s">
        <v>349</v>
      </c>
      <c r="D10" s="1">
        <v>74448</v>
      </c>
      <c r="E10" s="1">
        <v>26</v>
      </c>
      <c r="F10" s="1">
        <v>3</v>
      </c>
      <c r="G10" s="17" t="str">
        <f t="shared" si="0"/>
        <v>Eligible</v>
      </c>
      <c r="H10" s="17" t="str">
        <f t="shared" si="1"/>
        <v>Normal</v>
      </c>
      <c r="I10" s="17" t="str">
        <f t="shared" si="2"/>
        <v>Average</v>
      </c>
      <c r="K10" s="10" t="s">
        <v>329</v>
      </c>
      <c r="L10" s="10" t="s">
        <v>833</v>
      </c>
      <c r="M10" s="10" t="s">
        <v>834</v>
      </c>
      <c r="N10" s="10"/>
    </row>
    <row r="11" spans="1:14" x14ac:dyDescent="0.3">
      <c r="A11" t="s">
        <v>354</v>
      </c>
      <c r="B11" t="s">
        <v>33</v>
      </c>
      <c r="C11" t="s">
        <v>347</v>
      </c>
      <c r="D11">
        <v>68346</v>
      </c>
      <c r="E11">
        <v>20</v>
      </c>
      <c r="G11" s="17" t="str">
        <f t="shared" si="0"/>
        <v>Not Eligible</v>
      </c>
      <c r="H11" s="17" t="str">
        <f t="shared" si="1"/>
        <v>Alert</v>
      </c>
      <c r="I11" s="17" t="str">
        <f t="shared" si="2"/>
        <v>No Rating</v>
      </c>
      <c r="K11" s="14" t="str" cm="1">
        <f t="array" ref="K11:K14">_xlfn.UNIQUE(B2:B251)</f>
        <v>Finance</v>
      </c>
      <c r="L11" s="10">
        <f>_xlfn.MAXIFS(D2:D251,B2:B251,K11)</f>
        <v>148724</v>
      </c>
      <c r="M11" s="10">
        <f>_xlfn.MINIFS(D2:D251,B2:B251,K11)</f>
        <v>22495</v>
      </c>
      <c r="N11" s="10"/>
    </row>
    <row r="12" spans="1:14" x14ac:dyDescent="0.3">
      <c r="A12" s="1" t="s">
        <v>355</v>
      </c>
      <c r="B12" s="1" t="s">
        <v>17</v>
      </c>
      <c r="C12" s="1" t="s">
        <v>345</v>
      </c>
      <c r="D12" s="1">
        <v>88430</v>
      </c>
      <c r="E12" s="1">
        <v>23</v>
      </c>
      <c r="F12" s="1">
        <v>5</v>
      </c>
      <c r="G12" s="17" t="str">
        <f t="shared" si="0"/>
        <v>Eligible</v>
      </c>
      <c r="H12" s="17" t="str">
        <f t="shared" si="1"/>
        <v>Normal</v>
      </c>
      <c r="I12" s="17" t="str">
        <f t="shared" si="2"/>
        <v>Excellent</v>
      </c>
      <c r="K12" s="14" t="str">
        <v>IT</v>
      </c>
      <c r="L12" s="10">
        <f>_xlfn.MAXIFS(D2:D251,B2:B251,K12)</f>
        <v>148684</v>
      </c>
      <c r="M12" s="10">
        <f>_xlfn.MINIFS(D1:D251,B1:B251,K12)</f>
        <v>23656</v>
      </c>
      <c r="N12" s="10"/>
    </row>
    <row r="13" spans="1:14" x14ac:dyDescent="0.3">
      <c r="A13" t="s">
        <v>356</v>
      </c>
      <c r="B13" t="s">
        <v>25</v>
      </c>
      <c r="C13" t="s">
        <v>342</v>
      </c>
      <c r="D13">
        <v>77529</v>
      </c>
      <c r="E13">
        <v>23</v>
      </c>
      <c r="G13" s="17" t="str">
        <f t="shared" si="0"/>
        <v>Not Eligible</v>
      </c>
      <c r="H13" s="17" t="str">
        <f t="shared" si="1"/>
        <v>Alert</v>
      </c>
      <c r="I13" s="17" t="str">
        <f t="shared" si="2"/>
        <v>No Rating</v>
      </c>
      <c r="K13" s="14" t="str">
        <v>HR</v>
      </c>
      <c r="L13" s="10">
        <f>_xlfn.MAXIFS(D2:D251,B2:B251,K13)</f>
        <v>147675</v>
      </c>
      <c r="M13" s="10">
        <f>_xlfn.MINIFS(D2:D251,B2:B251,K13)</f>
        <v>22724</v>
      </c>
      <c r="N13" s="10"/>
    </row>
    <row r="14" spans="1:14" x14ac:dyDescent="0.3">
      <c r="A14" s="1" t="s">
        <v>357</v>
      </c>
      <c r="B14" s="1" t="s">
        <v>25</v>
      </c>
      <c r="C14" s="1" t="s">
        <v>347</v>
      </c>
      <c r="D14" s="1">
        <v>115185</v>
      </c>
      <c r="E14" s="1">
        <v>17</v>
      </c>
      <c r="F14" s="1">
        <v>5</v>
      </c>
      <c r="G14" s="17" t="str">
        <f t="shared" si="0"/>
        <v>Eligible</v>
      </c>
      <c r="H14" s="17" t="str">
        <f t="shared" si="1"/>
        <v>Alert</v>
      </c>
      <c r="I14" s="17" t="str">
        <f t="shared" si="2"/>
        <v>Excellent</v>
      </c>
      <c r="K14" s="14" t="str">
        <v>Operations</v>
      </c>
      <c r="L14" s="10">
        <f>_xlfn.MAXIFS(D2:D251,B2:B251,K14)</f>
        <v>146731</v>
      </c>
      <c r="M14" s="10">
        <f>_xlfn.MINIFS(D2:D251,B2:B251,K14)</f>
        <v>20692</v>
      </c>
      <c r="N14" s="10"/>
    </row>
    <row r="15" spans="1:14" x14ac:dyDescent="0.3">
      <c r="A15" t="s">
        <v>358</v>
      </c>
      <c r="B15" t="s">
        <v>21</v>
      </c>
      <c r="C15" t="s">
        <v>345</v>
      </c>
      <c r="D15">
        <v>23656</v>
      </c>
      <c r="E15">
        <v>25</v>
      </c>
      <c r="F15">
        <v>5</v>
      </c>
      <c r="G15" s="17" t="str">
        <f t="shared" si="0"/>
        <v>Eligible</v>
      </c>
      <c r="H15" s="17" t="str">
        <f t="shared" si="1"/>
        <v>Normal</v>
      </c>
      <c r="I15" s="17" t="str">
        <f t="shared" si="2"/>
        <v>Excellent</v>
      </c>
      <c r="K15" s="10"/>
      <c r="L15" s="10"/>
      <c r="M15" s="10"/>
      <c r="N15" s="10"/>
    </row>
    <row r="16" spans="1:14" x14ac:dyDescent="0.3">
      <c r="A16" s="1" t="s">
        <v>359</v>
      </c>
      <c r="B16" s="1" t="s">
        <v>17</v>
      </c>
      <c r="C16" s="1" t="s">
        <v>342</v>
      </c>
      <c r="D16" s="1">
        <v>87227</v>
      </c>
      <c r="E16" s="1">
        <v>25</v>
      </c>
      <c r="F16" s="1">
        <v>5</v>
      </c>
      <c r="G16" s="17" t="str">
        <f t="shared" si="0"/>
        <v>Eligible</v>
      </c>
      <c r="H16" s="17" t="str">
        <f t="shared" si="1"/>
        <v>Normal</v>
      </c>
      <c r="I16" s="17" t="str">
        <f t="shared" si="2"/>
        <v>Excellent</v>
      </c>
      <c r="K16" s="10" t="s">
        <v>330</v>
      </c>
      <c r="L16" s="10"/>
      <c r="M16" s="10"/>
      <c r="N16" s="10"/>
    </row>
    <row r="17" spans="1:14" x14ac:dyDescent="0.3">
      <c r="A17" t="s">
        <v>360</v>
      </c>
      <c r="B17" t="s">
        <v>25</v>
      </c>
      <c r="C17" t="s">
        <v>345</v>
      </c>
      <c r="D17">
        <v>42376</v>
      </c>
      <c r="E17">
        <v>23</v>
      </c>
      <c r="F17">
        <v>2</v>
      </c>
      <c r="G17" s="17" t="str">
        <f t="shared" si="0"/>
        <v>Not Eligible</v>
      </c>
      <c r="H17" s="17" t="str">
        <f t="shared" si="1"/>
        <v>Alert</v>
      </c>
      <c r="I17" s="17" t="str">
        <f t="shared" si="2"/>
        <v>Poor</v>
      </c>
      <c r="K17" s="10" t="s">
        <v>835</v>
      </c>
      <c r="L17" s="10">
        <f>COUNTA(A2:A251)</f>
        <v>250</v>
      </c>
      <c r="M17" s="10"/>
      <c r="N17" s="10"/>
    </row>
    <row r="18" spans="1:14" x14ac:dyDescent="0.3">
      <c r="A18" s="1" t="s">
        <v>361</v>
      </c>
      <c r="B18" s="1" t="s">
        <v>25</v>
      </c>
      <c r="C18" s="1" t="s">
        <v>342</v>
      </c>
      <c r="D18" s="1">
        <v>139976</v>
      </c>
      <c r="E18" s="1">
        <v>24</v>
      </c>
      <c r="F18" s="1">
        <v>4</v>
      </c>
      <c r="G18" s="17" t="str">
        <f t="shared" si="0"/>
        <v>Eligible</v>
      </c>
      <c r="H18" s="17" t="str">
        <f t="shared" si="1"/>
        <v>Normal</v>
      </c>
      <c r="I18" s="17" t="str">
        <f t="shared" si="2"/>
        <v>Good</v>
      </c>
      <c r="K18" s="10" t="s">
        <v>836</v>
      </c>
      <c r="L18" s="10">
        <f>COUNTBLANK(F2:F251)</f>
        <v>39</v>
      </c>
      <c r="M18" s="10"/>
      <c r="N18" s="10"/>
    </row>
    <row r="19" spans="1:14" x14ac:dyDescent="0.3">
      <c r="A19" t="s">
        <v>362</v>
      </c>
      <c r="B19" t="s">
        <v>25</v>
      </c>
      <c r="C19" t="s">
        <v>347</v>
      </c>
      <c r="D19">
        <v>65581</v>
      </c>
      <c r="E19">
        <v>19</v>
      </c>
      <c r="F19">
        <v>4</v>
      </c>
      <c r="G19" s="17" t="str">
        <f t="shared" si="0"/>
        <v>Eligible</v>
      </c>
      <c r="H19" s="17" t="str">
        <f t="shared" si="1"/>
        <v>Normal</v>
      </c>
      <c r="I19" s="17" t="str">
        <f t="shared" si="2"/>
        <v>Good</v>
      </c>
      <c r="K19" s="10"/>
      <c r="L19" s="10"/>
      <c r="M19" s="10"/>
      <c r="N19" s="10"/>
    </row>
    <row r="20" spans="1:14" x14ac:dyDescent="0.3">
      <c r="A20" s="1" t="s">
        <v>363</v>
      </c>
      <c r="B20" s="1" t="s">
        <v>17</v>
      </c>
      <c r="C20" s="1" t="s">
        <v>347</v>
      </c>
      <c r="D20" s="1">
        <v>59547</v>
      </c>
      <c r="E20" s="1">
        <v>24</v>
      </c>
      <c r="F20" s="1">
        <v>2</v>
      </c>
      <c r="G20" s="17" t="str">
        <f t="shared" si="0"/>
        <v>Not Eligible</v>
      </c>
      <c r="H20" s="17" t="str">
        <f t="shared" si="1"/>
        <v>Alert</v>
      </c>
      <c r="I20" s="17" t="str">
        <f t="shared" si="2"/>
        <v>Poor</v>
      </c>
      <c r="K20" s="10" t="s">
        <v>331</v>
      </c>
      <c r="L20" s="13" t="s">
        <v>837</v>
      </c>
      <c r="M20" s="10"/>
      <c r="N20" s="10"/>
    </row>
    <row r="21" spans="1:14" x14ac:dyDescent="0.3">
      <c r="A21" t="s">
        <v>364</v>
      </c>
      <c r="B21" t="s">
        <v>25</v>
      </c>
      <c r="C21" t="s">
        <v>349</v>
      </c>
      <c r="D21">
        <v>113700</v>
      </c>
      <c r="E21">
        <v>18</v>
      </c>
      <c r="F21">
        <v>2</v>
      </c>
      <c r="G21" s="17" t="str">
        <f t="shared" si="0"/>
        <v>Not Eligible</v>
      </c>
      <c r="H21" s="17" t="str">
        <f t="shared" si="1"/>
        <v>Alert</v>
      </c>
      <c r="I21" s="17" t="str">
        <f t="shared" si="2"/>
        <v>Poor</v>
      </c>
      <c r="K21" s="10"/>
      <c r="L21" s="10"/>
      <c r="M21" s="10"/>
      <c r="N21" s="10"/>
    </row>
    <row r="22" spans="1:14" x14ac:dyDescent="0.3">
      <c r="A22" s="1" t="s">
        <v>365</v>
      </c>
      <c r="B22" s="1" t="s">
        <v>17</v>
      </c>
      <c r="C22" s="1" t="s">
        <v>345</v>
      </c>
      <c r="D22" s="1">
        <v>42386</v>
      </c>
      <c r="E22" s="1">
        <v>15</v>
      </c>
      <c r="F22" s="1">
        <v>1</v>
      </c>
      <c r="G22" s="17" t="str">
        <f t="shared" si="0"/>
        <v>Not Eligible</v>
      </c>
      <c r="H22" s="17" t="str">
        <f t="shared" si="1"/>
        <v>Alert</v>
      </c>
      <c r="I22" s="17" t="str">
        <f t="shared" si="2"/>
        <v>Very Poor</v>
      </c>
      <c r="K22" s="10" t="s">
        <v>332</v>
      </c>
      <c r="L22" s="13" t="s">
        <v>838</v>
      </c>
      <c r="M22" s="10"/>
      <c r="N22" s="10"/>
    </row>
    <row r="23" spans="1:14" x14ac:dyDescent="0.3">
      <c r="A23" t="s">
        <v>366</v>
      </c>
      <c r="B23" t="s">
        <v>25</v>
      </c>
      <c r="C23" t="s">
        <v>342</v>
      </c>
      <c r="D23">
        <v>122575</v>
      </c>
      <c r="E23">
        <v>24</v>
      </c>
      <c r="F23">
        <v>5</v>
      </c>
      <c r="G23" s="17" t="str">
        <f t="shared" si="0"/>
        <v>Eligible</v>
      </c>
      <c r="H23" s="17" t="str">
        <f t="shared" si="1"/>
        <v>Normal</v>
      </c>
      <c r="I23" s="17" t="str">
        <f t="shared" si="2"/>
        <v>Excellent</v>
      </c>
      <c r="K23" s="10"/>
      <c r="L23" s="10"/>
      <c r="M23" s="10"/>
      <c r="N23" s="10"/>
    </row>
    <row r="24" spans="1:14" x14ac:dyDescent="0.3">
      <c r="A24" s="1" t="s">
        <v>367</v>
      </c>
      <c r="B24" s="1" t="s">
        <v>21</v>
      </c>
      <c r="C24" s="1" t="s">
        <v>347</v>
      </c>
      <c r="D24" s="1">
        <v>124671</v>
      </c>
      <c r="E24" s="1">
        <v>19</v>
      </c>
      <c r="F24" s="1">
        <v>4</v>
      </c>
      <c r="G24" s="17" t="str">
        <f t="shared" si="0"/>
        <v>Eligible</v>
      </c>
      <c r="H24" s="17" t="str">
        <f t="shared" si="1"/>
        <v>Normal</v>
      </c>
      <c r="I24" s="17" t="str">
        <f t="shared" si="2"/>
        <v>Good</v>
      </c>
      <c r="K24" s="10" t="s">
        <v>333</v>
      </c>
      <c r="L24" s="13" t="s">
        <v>839</v>
      </c>
      <c r="M24" s="10"/>
      <c r="N24" s="10"/>
    </row>
    <row r="25" spans="1:14" x14ac:dyDescent="0.3">
      <c r="A25" t="s">
        <v>368</v>
      </c>
      <c r="B25" t="s">
        <v>33</v>
      </c>
      <c r="C25" t="s">
        <v>347</v>
      </c>
      <c r="D25">
        <v>118035</v>
      </c>
      <c r="E25">
        <v>19</v>
      </c>
      <c r="F25">
        <v>1</v>
      </c>
      <c r="G25" s="17" t="str">
        <f t="shared" si="0"/>
        <v>Not Eligible</v>
      </c>
      <c r="H25" s="17" t="str">
        <f t="shared" si="1"/>
        <v>Alert</v>
      </c>
      <c r="I25" s="17" t="str">
        <f t="shared" si="2"/>
        <v>Very Poor</v>
      </c>
      <c r="K25" s="10"/>
      <c r="L25" s="10"/>
      <c r="M25" s="10"/>
      <c r="N25" s="10"/>
    </row>
    <row r="26" spans="1:14" x14ac:dyDescent="0.3">
      <c r="A26" s="1" t="s">
        <v>369</v>
      </c>
      <c r="B26" s="1" t="s">
        <v>25</v>
      </c>
      <c r="C26" s="1" t="s">
        <v>349</v>
      </c>
      <c r="D26" s="1">
        <v>35975</v>
      </c>
      <c r="E26" s="1">
        <v>25</v>
      </c>
      <c r="F26" s="1">
        <v>4</v>
      </c>
      <c r="G26" s="17" t="str">
        <f t="shared" si="0"/>
        <v>Eligible</v>
      </c>
      <c r="H26" s="17" t="str">
        <f t="shared" si="1"/>
        <v>Normal</v>
      </c>
      <c r="I26" s="17" t="str">
        <f t="shared" si="2"/>
        <v>Good</v>
      </c>
      <c r="K26" s="10" t="s">
        <v>334</v>
      </c>
      <c r="L26" s="10"/>
      <c r="M26" s="10"/>
      <c r="N26" s="10"/>
    </row>
    <row r="27" spans="1:14" x14ac:dyDescent="0.3">
      <c r="A27" t="s">
        <v>370</v>
      </c>
      <c r="B27" t="s">
        <v>25</v>
      </c>
      <c r="C27" t="s">
        <v>342</v>
      </c>
      <c r="D27">
        <v>139390</v>
      </c>
      <c r="E27">
        <v>17</v>
      </c>
      <c r="F27">
        <v>5</v>
      </c>
      <c r="G27" s="17" t="str">
        <f t="shared" si="0"/>
        <v>Eligible</v>
      </c>
      <c r="H27" s="17" t="str">
        <f t="shared" si="1"/>
        <v>Alert</v>
      </c>
      <c r="I27" s="17" t="str">
        <f t="shared" si="2"/>
        <v>Excellent</v>
      </c>
      <c r="K27" s="14" t="s">
        <v>11</v>
      </c>
      <c r="L27" s="10"/>
      <c r="M27" s="10"/>
      <c r="N27" s="10"/>
    </row>
    <row r="28" spans="1:14" x14ac:dyDescent="0.3">
      <c r="A28" s="1" t="s">
        <v>371</v>
      </c>
      <c r="B28" s="1" t="s">
        <v>25</v>
      </c>
      <c r="C28" s="1" t="s">
        <v>349</v>
      </c>
      <c r="D28" s="1">
        <v>67437</v>
      </c>
      <c r="E28" s="1">
        <v>25</v>
      </c>
      <c r="F28" s="1">
        <v>3</v>
      </c>
      <c r="G28" s="17" t="str">
        <f t="shared" si="0"/>
        <v>Eligible</v>
      </c>
      <c r="H28" s="17" t="str">
        <f t="shared" si="1"/>
        <v>Normal</v>
      </c>
      <c r="I28" s="17" t="str">
        <f t="shared" si="2"/>
        <v>Average</v>
      </c>
      <c r="K28" s="14" t="str" cm="1">
        <f t="array" ref="K28:K31">_xlfn.UNIQUE((B2:B251))</f>
        <v>Finance</v>
      </c>
      <c r="L28" s="10">
        <f>COUNTIF(B2:B251,K28)</f>
        <v>75</v>
      </c>
      <c r="M28" s="10"/>
      <c r="N28" s="10"/>
    </row>
    <row r="29" spans="1:14" x14ac:dyDescent="0.3">
      <c r="A29" t="s">
        <v>372</v>
      </c>
      <c r="B29" t="s">
        <v>25</v>
      </c>
      <c r="C29" t="s">
        <v>349</v>
      </c>
      <c r="D29">
        <v>65110</v>
      </c>
      <c r="E29">
        <v>22</v>
      </c>
      <c r="F29">
        <v>4</v>
      </c>
      <c r="G29" s="17" t="str">
        <f t="shared" si="0"/>
        <v>Eligible</v>
      </c>
      <c r="H29" s="17" t="str">
        <f t="shared" si="1"/>
        <v>Normal</v>
      </c>
      <c r="I29" s="17" t="str">
        <f t="shared" si="2"/>
        <v>Good</v>
      </c>
      <c r="K29" s="14" t="str">
        <v>IT</v>
      </c>
      <c r="L29" s="10">
        <f>COUNTIF(B2:B251,K29)</f>
        <v>61</v>
      </c>
      <c r="M29" s="10"/>
      <c r="N29" s="10"/>
    </row>
    <row r="30" spans="1:14" x14ac:dyDescent="0.3">
      <c r="A30" s="1" t="s">
        <v>373</v>
      </c>
      <c r="B30" s="1" t="s">
        <v>25</v>
      </c>
      <c r="C30" s="1" t="s">
        <v>345</v>
      </c>
      <c r="D30" s="1">
        <v>90235</v>
      </c>
      <c r="E30" s="1">
        <v>26</v>
      </c>
      <c r="F30" s="1">
        <v>5</v>
      </c>
      <c r="G30" s="17" t="str">
        <f t="shared" si="0"/>
        <v>Eligible</v>
      </c>
      <c r="H30" s="17" t="str">
        <f t="shared" si="1"/>
        <v>Normal</v>
      </c>
      <c r="I30" s="17" t="str">
        <f t="shared" si="2"/>
        <v>Excellent</v>
      </c>
      <c r="K30" s="14" t="str">
        <v>HR</v>
      </c>
      <c r="L30" s="10">
        <f>COUNTIF(B2:B251,K30)</f>
        <v>56</v>
      </c>
      <c r="M30" s="10"/>
      <c r="N30" s="10"/>
    </row>
    <row r="31" spans="1:14" x14ac:dyDescent="0.3">
      <c r="A31" t="s">
        <v>374</v>
      </c>
      <c r="B31" t="s">
        <v>33</v>
      </c>
      <c r="C31" t="s">
        <v>349</v>
      </c>
      <c r="D31">
        <v>115479</v>
      </c>
      <c r="E31">
        <v>21</v>
      </c>
      <c r="F31">
        <v>4</v>
      </c>
      <c r="G31" s="17" t="str">
        <f t="shared" si="0"/>
        <v>Eligible</v>
      </c>
      <c r="H31" s="17" t="str">
        <f t="shared" si="1"/>
        <v>Normal</v>
      </c>
      <c r="I31" s="17" t="str">
        <f t="shared" si="2"/>
        <v>Good</v>
      </c>
      <c r="K31" s="14" t="str">
        <v>Operations</v>
      </c>
      <c r="L31" s="10">
        <f>COUNTIF(B2:B251,K31)</f>
        <v>58</v>
      </c>
      <c r="M31" s="10"/>
      <c r="N31" s="10"/>
    </row>
    <row r="32" spans="1:14" x14ac:dyDescent="0.3">
      <c r="A32" s="1" t="s">
        <v>375</v>
      </c>
      <c r="B32" s="1" t="s">
        <v>17</v>
      </c>
      <c r="C32" s="1" t="s">
        <v>349</v>
      </c>
      <c r="D32" s="1">
        <v>99662</v>
      </c>
      <c r="E32" s="1">
        <v>16</v>
      </c>
      <c r="F32" s="1">
        <v>4</v>
      </c>
      <c r="G32" s="17" t="str">
        <f t="shared" si="0"/>
        <v>Eligible</v>
      </c>
      <c r="H32" s="17" t="str">
        <f t="shared" si="1"/>
        <v>Alert</v>
      </c>
      <c r="I32" s="17" t="str">
        <f t="shared" si="2"/>
        <v>Good</v>
      </c>
      <c r="K32" s="10"/>
      <c r="L32" s="10"/>
      <c r="M32" s="10"/>
      <c r="N32" s="10"/>
    </row>
    <row r="33" spans="1:14" x14ac:dyDescent="0.3">
      <c r="A33" t="s">
        <v>376</v>
      </c>
      <c r="B33" t="s">
        <v>25</v>
      </c>
      <c r="C33" t="s">
        <v>342</v>
      </c>
      <c r="D33">
        <v>56804</v>
      </c>
      <c r="E33">
        <v>23</v>
      </c>
      <c r="F33">
        <v>5</v>
      </c>
      <c r="G33" s="17" t="str">
        <f t="shared" si="0"/>
        <v>Eligible</v>
      </c>
      <c r="H33" s="17" t="str">
        <f t="shared" si="1"/>
        <v>Normal</v>
      </c>
      <c r="I33" s="17" t="str">
        <f t="shared" si="2"/>
        <v>Excellent</v>
      </c>
      <c r="K33" s="10" t="s">
        <v>335</v>
      </c>
      <c r="L33" s="10"/>
      <c r="M33" s="10"/>
      <c r="N33" s="10"/>
    </row>
    <row r="34" spans="1:14" x14ac:dyDescent="0.3">
      <c r="A34" s="1" t="s">
        <v>377</v>
      </c>
      <c r="B34" s="1" t="s">
        <v>17</v>
      </c>
      <c r="C34" s="1" t="s">
        <v>347</v>
      </c>
      <c r="D34" s="1">
        <v>97323</v>
      </c>
      <c r="E34" s="1">
        <v>24</v>
      </c>
      <c r="F34" s="1"/>
      <c r="G34" s="17" t="str">
        <f t="shared" si="0"/>
        <v>Not Eligible</v>
      </c>
      <c r="H34" s="17" t="str">
        <f t="shared" si="1"/>
        <v>Alert</v>
      </c>
      <c r="I34" s="17" t="str">
        <f t="shared" si="2"/>
        <v>No Rating</v>
      </c>
      <c r="K34" s="14" t="s">
        <v>337</v>
      </c>
      <c r="L34" s="10"/>
      <c r="M34" s="10"/>
      <c r="N34" s="10"/>
    </row>
    <row r="35" spans="1:14" x14ac:dyDescent="0.3">
      <c r="A35" t="s">
        <v>378</v>
      </c>
      <c r="B35" t="s">
        <v>25</v>
      </c>
      <c r="C35" t="s">
        <v>342</v>
      </c>
      <c r="D35">
        <v>123816</v>
      </c>
      <c r="E35">
        <v>16</v>
      </c>
      <c r="F35">
        <v>2</v>
      </c>
      <c r="G35" s="17" t="str">
        <f t="shared" si="0"/>
        <v>Not Eligible</v>
      </c>
      <c r="H35" s="17" t="str">
        <f t="shared" si="1"/>
        <v>Alert</v>
      </c>
      <c r="I35" s="17" t="str">
        <f t="shared" si="2"/>
        <v>Poor</v>
      </c>
      <c r="K35" s="14" t="str" cm="1">
        <f t="array" ref="K35:K38">_xlfn.UNIQUE(C2:C251)</f>
        <v>Analyst</v>
      </c>
      <c r="L35" s="16">
        <f>AVERAGEIF(C2:C251,K35,D2:D251)</f>
        <v>88818.390625</v>
      </c>
      <c r="M35" s="10"/>
      <c r="N35" s="10"/>
    </row>
    <row r="36" spans="1:14" x14ac:dyDescent="0.3">
      <c r="A36" s="1" t="s">
        <v>379</v>
      </c>
      <c r="B36" s="1" t="s">
        <v>17</v>
      </c>
      <c r="C36" s="1" t="s">
        <v>347</v>
      </c>
      <c r="D36" s="1">
        <v>57250</v>
      </c>
      <c r="E36" s="1">
        <v>22</v>
      </c>
      <c r="F36" s="1">
        <v>5</v>
      </c>
      <c r="G36" s="17" t="str">
        <f t="shared" si="0"/>
        <v>Eligible</v>
      </c>
      <c r="H36" s="17" t="str">
        <f t="shared" si="1"/>
        <v>Normal</v>
      </c>
      <c r="I36" s="17" t="str">
        <f t="shared" si="2"/>
        <v>Excellent</v>
      </c>
      <c r="K36" s="14" t="str">
        <v>Executive</v>
      </c>
      <c r="L36" s="16">
        <f>AVERAGEIF(C2:C251,K36,D2:D251)</f>
        <v>87049.984375</v>
      </c>
      <c r="M36" s="10"/>
      <c r="N36" s="10"/>
    </row>
    <row r="37" spans="1:14" x14ac:dyDescent="0.3">
      <c r="A37" t="s">
        <v>380</v>
      </c>
      <c r="B37" t="s">
        <v>17</v>
      </c>
      <c r="C37" t="s">
        <v>345</v>
      </c>
      <c r="D37">
        <v>94048</v>
      </c>
      <c r="E37">
        <v>16</v>
      </c>
      <c r="G37" s="17" t="str">
        <f t="shared" si="0"/>
        <v>Not Eligible</v>
      </c>
      <c r="H37" s="17" t="str">
        <f t="shared" si="1"/>
        <v>Alert</v>
      </c>
      <c r="I37" s="17" t="str">
        <f t="shared" si="2"/>
        <v>No Rating</v>
      </c>
      <c r="K37" s="14" t="str">
        <v>Manager</v>
      </c>
      <c r="L37" s="16">
        <f>AVERAGEIF(C2:C251,K37,D1:D251)</f>
        <v>76463.559322033892</v>
      </c>
      <c r="M37" s="10"/>
      <c r="N37" s="10"/>
    </row>
    <row r="38" spans="1:14" x14ac:dyDescent="0.3">
      <c r="A38" s="1" t="s">
        <v>381</v>
      </c>
      <c r="B38" s="1" t="s">
        <v>33</v>
      </c>
      <c r="C38" s="1" t="s">
        <v>349</v>
      </c>
      <c r="D38" s="1">
        <v>67725</v>
      </c>
      <c r="E38" s="1">
        <v>26</v>
      </c>
      <c r="F38" s="1">
        <v>5</v>
      </c>
      <c r="G38" s="17" t="str">
        <f t="shared" si="0"/>
        <v>Eligible</v>
      </c>
      <c r="H38" s="17" t="str">
        <f t="shared" si="1"/>
        <v>Normal</v>
      </c>
      <c r="I38" s="17" t="str">
        <f t="shared" si="2"/>
        <v>Excellent</v>
      </c>
      <c r="K38" s="14" t="str">
        <v>Associate</v>
      </c>
      <c r="L38" s="16">
        <f>AVERAGEIF(C2:C251,K38,D2:D251)</f>
        <v>82217.761904761908</v>
      </c>
      <c r="M38" s="10"/>
      <c r="N38" s="10"/>
    </row>
    <row r="39" spans="1:14" x14ac:dyDescent="0.3">
      <c r="A39" t="s">
        <v>382</v>
      </c>
      <c r="B39" t="s">
        <v>21</v>
      </c>
      <c r="C39" t="s">
        <v>349</v>
      </c>
      <c r="D39">
        <v>45596</v>
      </c>
      <c r="E39">
        <v>15</v>
      </c>
      <c r="F39">
        <v>1</v>
      </c>
      <c r="G39" s="17" t="str">
        <f t="shared" si="0"/>
        <v>Not Eligible</v>
      </c>
      <c r="H39" s="17" t="str">
        <f t="shared" si="1"/>
        <v>Alert</v>
      </c>
      <c r="I39" s="17" t="str">
        <f t="shared" si="2"/>
        <v>Very Poor</v>
      </c>
      <c r="K39" s="10"/>
      <c r="L39" s="10"/>
      <c r="M39" s="10"/>
      <c r="N39" s="10"/>
    </row>
    <row r="40" spans="1:14" x14ac:dyDescent="0.3">
      <c r="A40" s="1" t="s">
        <v>383</v>
      </c>
      <c r="B40" s="1" t="s">
        <v>25</v>
      </c>
      <c r="C40" s="1" t="s">
        <v>347</v>
      </c>
      <c r="D40" s="1">
        <v>111316</v>
      </c>
      <c r="E40" s="1">
        <v>26</v>
      </c>
      <c r="F40" s="1">
        <v>2</v>
      </c>
      <c r="G40" s="17" t="str">
        <f t="shared" si="0"/>
        <v>Not Eligible</v>
      </c>
      <c r="H40" s="17" t="str">
        <f t="shared" si="1"/>
        <v>Alert</v>
      </c>
      <c r="I40" s="17" t="str">
        <f t="shared" si="2"/>
        <v>Poor</v>
      </c>
      <c r="K40" s="10"/>
    </row>
    <row r="41" spans="1:14" x14ac:dyDescent="0.3">
      <c r="A41" t="s">
        <v>384</v>
      </c>
      <c r="B41" t="s">
        <v>33</v>
      </c>
      <c r="C41" t="s">
        <v>345</v>
      </c>
      <c r="D41">
        <v>61035</v>
      </c>
      <c r="E41">
        <v>20</v>
      </c>
      <c r="F41">
        <v>1</v>
      </c>
      <c r="G41" s="17" t="str">
        <f t="shared" si="0"/>
        <v>Not Eligible</v>
      </c>
      <c r="H41" s="17" t="str">
        <f t="shared" si="1"/>
        <v>Alert</v>
      </c>
      <c r="I41" s="17" t="str">
        <f t="shared" si="2"/>
        <v>Very Poor</v>
      </c>
      <c r="K41" s="10"/>
    </row>
    <row r="42" spans="1:14" x14ac:dyDescent="0.3">
      <c r="A42" s="1" t="s">
        <v>385</v>
      </c>
      <c r="B42" s="1" t="s">
        <v>21</v>
      </c>
      <c r="C42" s="1" t="s">
        <v>342</v>
      </c>
      <c r="D42" s="1">
        <v>39272</v>
      </c>
      <c r="E42" s="1">
        <v>25</v>
      </c>
      <c r="F42" s="1">
        <v>1</v>
      </c>
      <c r="G42" s="17" t="str">
        <f t="shared" si="0"/>
        <v>Not Eligible</v>
      </c>
      <c r="H42" s="17" t="str">
        <f t="shared" si="1"/>
        <v>Alert</v>
      </c>
      <c r="I42" s="17" t="str">
        <f t="shared" si="2"/>
        <v>Very Poor</v>
      </c>
      <c r="K42" s="10"/>
      <c r="L42" s="15"/>
    </row>
    <row r="43" spans="1:14" x14ac:dyDescent="0.3">
      <c r="A43" t="s">
        <v>386</v>
      </c>
      <c r="B43" t="s">
        <v>21</v>
      </c>
      <c r="C43" t="s">
        <v>349</v>
      </c>
      <c r="D43">
        <v>115937</v>
      </c>
      <c r="E43">
        <v>15</v>
      </c>
      <c r="F43">
        <v>1</v>
      </c>
      <c r="G43" s="17" t="str">
        <f t="shared" si="0"/>
        <v>Not Eligible</v>
      </c>
      <c r="H43" s="17" t="str">
        <f t="shared" si="1"/>
        <v>Alert</v>
      </c>
      <c r="I43" s="17" t="str">
        <f t="shared" si="2"/>
        <v>Very Poor</v>
      </c>
      <c r="K43" s="10"/>
    </row>
    <row r="44" spans="1:14" x14ac:dyDescent="0.3">
      <c r="A44" s="1" t="s">
        <v>387</v>
      </c>
      <c r="B44" s="1" t="s">
        <v>33</v>
      </c>
      <c r="C44" s="1" t="s">
        <v>349</v>
      </c>
      <c r="D44" s="1">
        <v>126843</v>
      </c>
      <c r="E44" s="1">
        <v>20</v>
      </c>
      <c r="F44" s="1">
        <v>2</v>
      </c>
      <c r="G44" s="17" t="str">
        <f t="shared" si="0"/>
        <v>Not Eligible</v>
      </c>
      <c r="H44" s="17" t="str">
        <f t="shared" si="1"/>
        <v>Alert</v>
      </c>
      <c r="I44" s="17" t="str">
        <f t="shared" si="2"/>
        <v>Poor</v>
      </c>
      <c r="K44" s="10"/>
    </row>
    <row r="45" spans="1:14" x14ac:dyDescent="0.3">
      <c r="A45" t="s">
        <v>388</v>
      </c>
      <c r="B45" t="s">
        <v>33</v>
      </c>
      <c r="C45" t="s">
        <v>347</v>
      </c>
      <c r="D45">
        <v>143869</v>
      </c>
      <c r="E45">
        <v>23</v>
      </c>
      <c r="F45">
        <v>1</v>
      </c>
      <c r="G45" s="17" t="str">
        <f t="shared" si="0"/>
        <v>Not Eligible</v>
      </c>
      <c r="H45" s="17" t="str">
        <f t="shared" si="1"/>
        <v>Alert</v>
      </c>
      <c r="I45" s="17" t="str">
        <f t="shared" si="2"/>
        <v>Very Poor</v>
      </c>
      <c r="K45" s="10"/>
    </row>
    <row r="46" spans="1:14" x14ac:dyDescent="0.3">
      <c r="A46" s="1" t="s">
        <v>389</v>
      </c>
      <c r="B46" s="1" t="s">
        <v>21</v>
      </c>
      <c r="C46" s="1" t="s">
        <v>345</v>
      </c>
      <c r="D46" s="1">
        <v>45541</v>
      </c>
      <c r="E46" s="1">
        <v>17</v>
      </c>
      <c r="F46" s="1">
        <v>4</v>
      </c>
      <c r="G46" s="17" t="str">
        <f t="shared" si="0"/>
        <v>Eligible</v>
      </c>
      <c r="H46" s="17" t="str">
        <f t="shared" si="1"/>
        <v>Alert</v>
      </c>
      <c r="I46" s="17" t="str">
        <f t="shared" si="2"/>
        <v>Good</v>
      </c>
      <c r="K46" s="10"/>
    </row>
    <row r="47" spans="1:14" x14ac:dyDescent="0.3">
      <c r="A47" t="s">
        <v>390</v>
      </c>
      <c r="B47" t="s">
        <v>33</v>
      </c>
      <c r="C47" t="s">
        <v>349</v>
      </c>
      <c r="D47">
        <v>119184</v>
      </c>
      <c r="E47">
        <v>20</v>
      </c>
      <c r="F47">
        <v>2</v>
      </c>
      <c r="G47" s="17" t="str">
        <f t="shared" si="0"/>
        <v>Not Eligible</v>
      </c>
      <c r="H47" s="17" t="str">
        <f t="shared" si="1"/>
        <v>Alert</v>
      </c>
      <c r="I47" s="17" t="str">
        <f t="shared" si="2"/>
        <v>Poor</v>
      </c>
      <c r="K47" s="10"/>
    </row>
    <row r="48" spans="1:14" x14ac:dyDescent="0.3">
      <c r="A48" s="1" t="s">
        <v>391</v>
      </c>
      <c r="B48" s="1" t="s">
        <v>33</v>
      </c>
      <c r="C48" s="1" t="s">
        <v>345</v>
      </c>
      <c r="D48" s="1">
        <v>32315</v>
      </c>
      <c r="E48" s="1">
        <v>17</v>
      </c>
      <c r="F48" s="1">
        <v>4</v>
      </c>
      <c r="G48" s="17" t="str">
        <f t="shared" si="0"/>
        <v>Eligible</v>
      </c>
      <c r="H48" s="17" t="str">
        <f t="shared" si="1"/>
        <v>Alert</v>
      </c>
      <c r="I48" s="17" t="str">
        <f t="shared" si="2"/>
        <v>Good</v>
      </c>
      <c r="K48" s="10"/>
    </row>
    <row r="49" spans="1:11" x14ac:dyDescent="0.3">
      <c r="A49" t="s">
        <v>392</v>
      </c>
      <c r="B49" t="s">
        <v>21</v>
      </c>
      <c r="C49" t="s">
        <v>342</v>
      </c>
      <c r="D49">
        <v>128981</v>
      </c>
      <c r="E49">
        <v>16</v>
      </c>
      <c r="F49">
        <v>2</v>
      </c>
      <c r="G49" s="17" t="str">
        <f t="shared" si="0"/>
        <v>Not Eligible</v>
      </c>
      <c r="H49" s="17" t="str">
        <f t="shared" si="1"/>
        <v>Alert</v>
      </c>
      <c r="I49" s="17" t="str">
        <f t="shared" si="2"/>
        <v>Poor</v>
      </c>
      <c r="K49" s="10"/>
    </row>
    <row r="50" spans="1:11" x14ac:dyDescent="0.3">
      <c r="A50" s="1" t="s">
        <v>393</v>
      </c>
      <c r="B50" s="1" t="s">
        <v>25</v>
      </c>
      <c r="C50" s="1" t="s">
        <v>349</v>
      </c>
      <c r="D50" s="1">
        <v>131528</v>
      </c>
      <c r="E50" s="1">
        <v>21</v>
      </c>
      <c r="F50" s="1">
        <v>1</v>
      </c>
      <c r="G50" s="17" t="str">
        <f t="shared" si="0"/>
        <v>Not Eligible</v>
      </c>
      <c r="H50" s="17" t="str">
        <f t="shared" si="1"/>
        <v>Alert</v>
      </c>
      <c r="I50" s="17" t="str">
        <f t="shared" si="2"/>
        <v>Very Poor</v>
      </c>
      <c r="K50" s="10"/>
    </row>
    <row r="51" spans="1:11" x14ac:dyDescent="0.3">
      <c r="A51" t="s">
        <v>394</v>
      </c>
      <c r="B51" t="s">
        <v>25</v>
      </c>
      <c r="C51" t="s">
        <v>347</v>
      </c>
      <c r="D51">
        <v>117526</v>
      </c>
      <c r="E51">
        <v>24</v>
      </c>
      <c r="F51">
        <v>1</v>
      </c>
      <c r="G51" s="17" t="str">
        <f t="shared" si="0"/>
        <v>Not Eligible</v>
      </c>
      <c r="H51" s="17" t="str">
        <f t="shared" si="1"/>
        <v>Alert</v>
      </c>
      <c r="I51" s="17" t="str">
        <f t="shared" si="2"/>
        <v>Very Poor</v>
      </c>
      <c r="K51" s="10"/>
    </row>
    <row r="52" spans="1:11" x14ac:dyDescent="0.3">
      <c r="A52" s="1" t="s">
        <v>395</v>
      </c>
      <c r="B52" s="1" t="s">
        <v>33</v>
      </c>
      <c r="C52" s="1" t="s">
        <v>349</v>
      </c>
      <c r="D52" s="1">
        <v>124126</v>
      </c>
      <c r="E52" s="1">
        <v>18</v>
      </c>
      <c r="F52" s="1">
        <v>4</v>
      </c>
      <c r="G52" s="17" t="str">
        <f t="shared" si="0"/>
        <v>Eligible</v>
      </c>
      <c r="H52" s="17" t="str">
        <f t="shared" si="1"/>
        <v>Normal</v>
      </c>
      <c r="I52" s="17" t="str">
        <f t="shared" si="2"/>
        <v>Good</v>
      </c>
      <c r="K52" s="10"/>
    </row>
    <row r="53" spans="1:11" x14ac:dyDescent="0.3">
      <c r="A53" t="s">
        <v>396</v>
      </c>
      <c r="B53" t="s">
        <v>21</v>
      </c>
      <c r="C53" t="s">
        <v>349</v>
      </c>
      <c r="D53">
        <v>83089</v>
      </c>
      <c r="E53">
        <v>23</v>
      </c>
      <c r="G53" s="17" t="str">
        <f t="shared" si="0"/>
        <v>Not Eligible</v>
      </c>
      <c r="H53" s="17" t="str">
        <f t="shared" si="1"/>
        <v>Alert</v>
      </c>
      <c r="I53" s="17" t="str">
        <f t="shared" si="2"/>
        <v>No Rating</v>
      </c>
      <c r="K53" s="10"/>
    </row>
    <row r="54" spans="1:11" x14ac:dyDescent="0.3">
      <c r="A54" s="1" t="s">
        <v>397</v>
      </c>
      <c r="B54" s="1" t="s">
        <v>21</v>
      </c>
      <c r="C54" s="1" t="s">
        <v>342</v>
      </c>
      <c r="D54" s="1">
        <v>75167</v>
      </c>
      <c r="E54" s="1">
        <v>25</v>
      </c>
      <c r="F54" s="1">
        <v>2</v>
      </c>
      <c r="G54" s="17" t="str">
        <f t="shared" si="0"/>
        <v>Not Eligible</v>
      </c>
      <c r="H54" s="17" t="str">
        <f t="shared" si="1"/>
        <v>Alert</v>
      </c>
      <c r="I54" s="17" t="str">
        <f t="shared" si="2"/>
        <v>Poor</v>
      </c>
      <c r="K54" s="10"/>
    </row>
    <row r="55" spans="1:11" x14ac:dyDescent="0.3">
      <c r="A55" t="s">
        <v>398</v>
      </c>
      <c r="B55" t="s">
        <v>17</v>
      </c>
      <c r="C55" t="s">
        <v>347</v>
      </c>
      <c r="D55">
        <v>37146</v>
      </c>
      <c r="E55">
        <v>21</v>
      </c>
      <c r="F55">
        <v>3</v>
      </c>
      <c r="G55" s="17" t="str">
        <f t="shared" si="0"/>
        <v>Eligible</v>
      </c>
      <c r="H55" s="17" t="str">
        <f t="shared" si="1"/>
        <v>Normal</v>
      </c>
      <c r="I55" s="17" t="str">
        <f t="shared" si="2"/>
        <v>Average</v>
      </c>
      <c r="K55" s="10"/>
    </row>
    <row r="56" spans="1:11" x14ac:dyDescent="0.3">
      <c r="A56" s="1" t="s">
        <v>399</v>
      </c>
      <c r="B56" s="1" t="s">
        <v>17</v>
      </c>
      <c r="C56" s="1" t="s">
        <v>342</v>
      </c>
      <c r="D56" s="1">
        <v>139675</v>
      </c>
      <c r="E56" s="1">
        <v>21</v>
      </c>
      <c r="F56" s="1">
        <v>4</v>
      </c>
      <c r="G56" s="17" t="str">
        <f t="shared" si="0"/>
        <v>Eligible</v>
      </c>
      <c r="H56" s="17" t="str">
        <f t="shared" si="1"/>
        <v>Normal</v>
      </c>
      <c r="I56" s="17" t="str">
        <f t="shared" si="2"/>
        <v>Good</v>
      </c>
      <c r="K56" s="10"/>
    </row>
    <row r="57" spans="1:11" x14ac:dyDescent="0.3">
      <c r="A57" t="s">
        <v>400</v>
      </c>
      <c r="B57" t="s">
        <v>33</v>
      </c>
      <c r="C57" t="s">
        <v>349</v>
      </c>
      <c r="D57">
        <v>57455</v>
      </c>
      <c r="E57">
        <v>15</v>
      </c>
      <c r="F57">
        <v>1</v>
      </c>
      <c r="G57" s="17" t="str">
        <f t="shared" si="0"/>
        <v>Not Eligible</v>
      </c>
      <c r="H57" s="17" t="str">
        <f t="shared" si="1"/>
        <v>Alert</v>
      </c>
      <c r="I57" s="17" t="str">
        <f t="shared" si="2"/>
        <v>Very Poor</v>
      </c>
      <c r="K57" s="10"/>
    </row>
    <row r="58" spans="1:11" x14ac:dyDescent="0.3">
      <c r="A58" s="1" t="s">
        <v>401</v>
      </c>
      <c r="B58" s="1" t="s">
        <v>33</v>
      </c>
      <c r="C58" s="1" t="s">
        <v>347</v>
      </c>
      <c r="D58" s="1">
        <v>36886</v>
      </c>
      <c r="E58" s="1">
        <v>26</v>
      </c>
      <c r="F58" s="1">
        <v>3</v>
      </c>
      <c r="G58" s="17" t="str">
        <f t="shared" si="0"/>
        <v>Eligible</v>
      </c>
      <c r="H58" s="17" t="str">
        <f t="shared" si="1"/>
        <v>Normal</v>
      </c>
      <c r="I58" s="17" t="str">
        <f t="shared" si="2"/>
        <v>Average</v>
      </c>
      <c r="K58" s="10"/>
    </row>
    <row r="59" spans="1:11" x14ac:dyDescent="0.3">
      <c r="A59" t="s">
        <v>402</v>
      </c>
      <c r="B59" t="s">
        <v>21</v>
      </c>
      <c r="C59" t="s">
        <v>347</v>
      </c>
      <c r="D59">
        <v>53323</v>
      </c>
      <c r="E59">
        <v>20</v>
      </c>
      <c r="F59">
        <v>3</v>
      </c>
      <c r="G59" s="17" t="str">
        <f t="shared" si="0"/>
        <v>Eligible</v>
      </c>
      <c r="H59" s="17" t="str">
        <f t="shared" si="1"/>
        <v>Normal</v>
      </c>
      <c r="I59" s="17" t="str">
        <f t="shared" si="2"/>
        <v>Average</v>
      </c>
      <c r="K59" s="10"/>
    </row>
    <row r="60" spans="1:11" x14ac:dyDescent="0.3">
      <c r="A60" s="1" t="s">
        <v>403</v>
      </c>
      <c r="B60" s="1" t="s">
        <v>17</v>
      </c>
      <c r="C60" s="1" t="s">
        <v>347</v>
      </c>
      <c r="D60" s="1">
        <v>126664</v>
      </c>
      <c r="E60" s="1">
        <v>21</v>
      </c>
      <c r="F60" s="1">
        <v>3</v>
      </c>
      <c r="G60" s="17" t="str">
        <f t="shared" si="0"/>
        <v>Eligible</v>
      </c>
      <c r="H60" s="17" t="str">
        <f t="shared" si="1"/>
        <v>Normal</v>
      </c>
      <c r="I60" s="17" t="str">
        <f t="shared" si="2"/>
        <v>Average</v>
      </c>
      <c r="K60" s="10"/>
    </row>
    <row r="61" spans="1:11" x14ac:dyDescent="0.3">
      <c r="A61" t="s">
        <v>404</v>
      </c>
      <c r="B61" t="s">
        <v>33</v>
      </c>
      <c r="C61" t="s">
        <v>342</v>
      </c>
      <c r="D61">
        <v>138412</v>
      </c>
      <c r="E61">
        <v>21</v>
      </c>
      <c r="F61">
        <v>1</v>
      </c>
      <c r="G61" s="17" t="str">
        <f t="shared" si="0"/>
        <v>Not Eligible</v>
      </c>
      <c r="H61" s="17" t="str">
        <f t="shared" si="1"/>
        <v>Alert</v>
      </c>
      <c r="I61" s="17" t="str">
        <f t="shared" si="2"/>
        <v>Very Poor</v>
      </c>
      <c r="K61" s="10"/>
    </row>
    <row r="62" spans="1:11" x14ac:dyDescent="0.3">
      <c r="A62" s="1" t="s">
        <v>405</v>
      </c>
      <c r="B62" s="1" t="s">
        <v>33</v>
      </c>
      <c r="C62" s="1" t="s">
        <v>342</v>
      </c>
      <c r="D62" s="1">
        <v>22277</v>
      </c>
      <c r="E62" s="1">
        <v>24</v>
      </c>
      <c r="F62" s="1"/>
      <c r="G62" s="17" t="str">
        <f t="shared" si="0"/>
        <v>Not Eligible</v>
      </c>
      <c r="H62" s="17" t="str">
        <f t="shared" si="1"/>
        <v>Alert</v>
      </c>
      <c r="I62" s="17" t="str">
        <f t="shared" si="2"/>
        <v>No Rating</v>
      </c>
      <c r="K62" s="10"/>
    </row>
    <row r="63" spans="1:11" x14ac:dyDescent="0.3">
      <c r="A63" t="s">
        <v>406</v>
      </c>
      <c r="B63" t="s">
        <v>17</v>
      </c>
      <c r="C63" t="s">
        <v>345</v>
      </c>
      <c r="D63">
        <v>24598</v>
      </c>
      <c r="E63">
        <v>16</v>
      </c>
      <c r="F63">
        <v>5</v>
      </c>
      <c r="G63" s="17" t="str">
        <f t="shared" si="0"/>
        <v>Eligible</v>
      </c>
      <c r="H63" s="17" t="str">
        <f t="shared" si="1"/>
        <v>Alert</v>
      </c>
      <c r="I63" s="17" t="str">
        <f t="shared" si="2"/>
        <v>Excellent</v>
      </c>
    </row>
    <row r="64" spans="1:11" x14ac:dyDescent="0.3">
      <c r="A64" s="1" t="s">
        <v>407</v>
      </c>
      <c r="B64" s="1" t="s">
        <v>33</v>
      </c>
      <c r="C64" s="1" t="s">
        <v>349</v>
      </c>
      <c r="D64" s="1">
        <v>137024</v>
      </c>
      <c r="E64" s="1">
        <v>24</v>
      </c>
      <c r="F64" s="1">
        <v>1</v>
      </c>
      <c r="G64" s="17" t="str">
        <f t="shared" si="0"/>
        <v>Not Eligible</v>
      </c>
      <c r="H64" s="17" t="str">
        <f t="shared" si="1"/>
        <v>Alert</v>
      </c>
      <c r="I64" s="17" t="str">
        <f t="shared" si="2"/>
        <v>Very Poor</v>
      </c>
    </row>
    <row r="65" spans="1:9" x14ac:dyDescent="0.3">
      <c r="A65" t="s">
        <v>408</v>
      </c>
      <c r="B65" t="s">
        <v>21</v>
      </c>
      <c r="C65" t="s">
        <v>342</v>
      </c>
      <c r="D65">
        <v>82271</v>
      </c>
      <c r="E65">
        <v>18</v>
      </c>
      <c r="F65">
        <v>4</v>
      </c>
      <c r="G65" s="17" t="str">
        <f t="shared" si="0"/>
        <v>Eligible</v>
      </c>
      <c r="H65" s="17" t="str">
        <f t="shared" si="1"/>
        <v>Normal</v>
      </c>
      <c r="I65" s="17" t="str">
        <f t="shared" si="2"/>
        <v>Good</v>
      </c>
    </row>
    <row r="66" spans="1:9" x14ac:dyDescent="0.3">
      <c r="A66" s="1" t="s">
        <v>409</v>
      </c>
      <c r="B66" s="1" t="s">
        <v>25</v>
      </c>
      <c r="C66" s="1" t="s">
        <v>345</v>
      </c>
      <c r="D66" s="1">
        <v>30168</v>
      </c>
      <c r="E66" s="1">
        <v>18</v>
      </c>
      <c r="F66" s="1"/>
      <c r="G66" s="17" t="str">
        <f t="shared" si="0"/>
        <v>Not Eligible</v>
      </c>
      <c r="H66" s="17" t="str">
        <f t="shared" si="1"/>
        <v>Alert</v>
      </c>
      <c r="I66" s="17" t="str">
        <f t="shared" si="2"/>
        <v>No Rating</v>
      </c>
    </row>
    <row r="67" spans="1:9" x14ac:dyDescent="0.3">
      <c r="A67" t="s">
        <v>410</v>
      </c>
      <c r="B67" t="s">
        <v>21</v>
      </c>
      <c r="C67" t="s">
        <v>347</v>
      </c>
      <c r="D67">
        <v>30013</v>
      </c>
      <c r="E67">
        <v>18</v>
      </c>
      <c r="G67" s="17" t="str">
        <f t="shared" ref="G67:G130" si="3">IF(F67&gt;=3,"Eligible","Not Eligible")</f>
        <v>Not Eligible</v>
      </c>
      <c r="H67" s="17" t="str">
        <f t="shared" ref="H67:H130" si="4">IF(OR(F67&lt;=2,E67&lt;18),"Alert","Normal")</f>
        <v>Alert</v>
      </c>
      <c r="I67" s="17" t="str">
        <f t="shared" ref="I67:I130" si="5">IF(F67=5,"Excellent",IF(F67=4,"Good",IF(F67=3,"Average",IF(F67=2,"Poor",IF(F67=1,"Very Poor","No Rating")))))</f>
        <v>No Rating</v>
      </c>
    </row>
    <row r="68" spans="1:9" x14ac:dyDescent="0.3">
      <c r="A68" s="1" t="s">
        <v>411</v>
      </c>
      <c r="B68" s="1" t="s">
        <v>21</v>
      </c>
      <c r="C68" s="1" t="s">
        <v>349</v>
      </c>
      <c r="D68" s="1">
        <v>35533</v>
      </c>
      <c r="E68" s="1">
        <v>25</v>
      </c>
      <c r="F68" s="1">
        <v>5</v>
      </c>
      <c r="G68" s="17" t="str">
        <f t="shared" si="3"/>
        <v>Eligible</v>
      </c>
      <c r="H68" s="17" t="str">
        <f t="shared" si="4"/>
        <v>Normal</v>
      </c>
      <c r="I68" s="17" t="str">
        <f t="shared" si="5"/>
        <v>Excellent</v>
      </c>
    </row>
    <row r="69" spans="1:9" x14ac:dyDescent="0.3">
      <c r="A69" t="s">
        <v>412</v>
      </c>
      <c r="B69" t="s">
        <v>33</v>
      </c>
      <c r="C69" t="s">
        <v>347</v>
      </c>
      <c r="D69">
        <v>64792</v>
      </c>
      <c r="E69">
        <v>21</v>
      </c>
      <c r="F69">
        <v>4</v>
      </c>
      <c r="G69" s="17" t="str">
        <f t="shared" si="3"/>
        <v>Eligible</v>
      </c>
      <c r="H69" s="17" t="str">
        <f t="shared" si="4"/>
        <v>Normal</v>
      </c>
      <c r="I69" s="17" t="str">
        <f t="shared" si="5"/>
        <v>Good</v>
      </c>
    </row>
    <row r="70" spans="1:9" x14ac:dyDescent="0.3">
      <c r="A70" s="1" t="s">
        <v>413</v>
      </c>
      <c r="B70" s="1" t="s">
        <v>33</v>
      </c>
      <c r="C70" s="1" t="s">
        <v>345</v>
      </c>
      <c r="D70" s="1">
        <v>42288</v>
      </c>
      <c r="E70" s="1">
        <v>18</v>
      </c>
      <c r="F70" s="1">
        <v>4</v>
      </c>
      <c r="G70" s="17" t="str">
        <f t="shared" si="3"/>
        <v>Eligible</v>
      </c>
      <c r="H70" s="17" t="str">
        <f t="shared" si="4"/>
        <v>Normal</v>
      </c>
      <c r="I70" s="17" t="str">
        <f t="shared" si="5"/>
        <v>Good</v>
      </c>
    </row>
    <row r="71" spans="1:9" x14ac:dyDescent="0.3">
      <c r="A71" t="s">
        <v>414</v>
      </c>
      <c r="B71" t="s">
        <v>25</v>
      </c>
      <c r="C71" t="s">
        <v>347</v>
      </c>
      <c r="D71">
        <v>144380</v>
      </c>
      <c r="E71">
        <v>17</v>
      </c>
      <c r="F71">
        <v>1</v>
      </c>
      <c r="G71" s="17" t="str">
        <f t="shared" si="3"/>
        <v>Not Eligible</v>
      </c>
      <c r="H71" s="17" t="str">
        <f t="shared" si="4"/>
        <v>Alert</v>
      </c>
      <c r="I71" s="17" t="str">
        <f t="shared" si="5"/>
        <v>Very Poor</v>
      </c>
    </row>
    <row r="72" spans="1:9" x14ac:dyDescent="0.3">
      <c r="A72" s="1" t="s">
        <v>415</v>
      </c>
      <c r="B72" s="1" t="s">
        <v>33</v>
      </c>
      <c r="C72" s="1" t="s">
        <v>345</v>
      </c>
      <c r="D72" s="1">
        <v>56695</v>
      </c>
      <c r="E72" s="1">
        <v>20</v>
      </c>
      <c r="F72" s="1">
        <v>1</v>
      </c>
      <c r="G72" s="17" t="str">
        <f t="shared" si="3"/>
        <v>Not Eligible</v>
      </c>
      <c r="H72" s="17" t="str">
        <f t="shared" si="4"/>
        <v>Alert</v>
      </c>
      <c r="I72" s="17" t="str">
        <f t="shared" si="5"/>
        <v>Very Poor</v>
      </c>
    </row>
    <row r="73" spans="1:9" x14ac:dyDescent="0.3">
      <c r="A73" t="s">
        <v>416</v>
      </c>
      <c r="B73" t="s">
        <v>17</v>
      </c>
      <c r="C73" t="s">
        <v>342</v>
      </c>
      <c r="D73">
        <v>113395</v>
      </c>
      <c r="E73">
        <v>15</v>
      </c>
      <c r="F73">
        <v>2</v>
      </c>
      <c r="G73" s="17" t="str">
        <f t="shared" si="3"/>
        <v>Not Eligible</v>
      </c>
      <c r="H73" s="17" t="str">
        <f t="shared" si="4"/>
        <v>Alert</v>
      </c>
      <c r="I73" s="17" t="str">
        <f t="shared" si="5"/>
        <v>Poor</v>
      </c>
    </row>
    <row r="74" spans="1:9" x14ac:dyDescent="0.3">
      <c r="A74" s="1" t="s">
        <v>417</v>
      </c>
      <c r="B74" s="1" t="s">
        <v>21</v>
      </c>
      <c r="C74" s="1" t="s">
        <v>345</v>
      </c>
      <c r="D74" s="1">
        <v>121684</v>
      </c>
      <c r="E74" s="1">
        <v>23</v>
      </c>
      <c r="F74" s="1">
        <v>1</v>
      </c>
      <c r="G74" s="17" t="str">
        <f t="shared" si="3"/>
        <v>Not Eligible</v>
      </c>
      <c r="H74" s="17" t="str">
        <f t="shared" si="4"/>
        <v>Alert</v>
      </c>
      <c r="I74" s="17" t="str">
        <f t="shared" si="5"/>
        <v>Very Poor</v>
      </c>
    </row>
    <row r="75" spans="1:9" x14ac:dyDescent="0.3">
      <c r="A75" t="s">
        <v>418</v>
      </c>
      <c r="B75" t="s">
        <v>21</v>
      </c>
      <c r="C75" t="s">
        <v>342</v>
      </c>
      <c r="D75">
        <v>119274</v>
      </c>
      <c r="E75">
        <v>15</v>
      </c>
      <c r="F75">
        <v>3</v>
      </c>
      <c r="G75" s="17" t="str">
        <f t="shared" si="3"/>
        <v>Eligible</v>
      </c>
      <c r="H75" s="17" t="str">
        <f t="shared" si="4"/>
        <v>Alert</v>
      </c>
      <c r="I75" s="17" t="str">
        <f t="shared" si="5"/>
        <v>Average</v>
      </c>
    </row>
    <row r="76" spans="1:9" x14ac:dyDescent="0.3">
      <c r="A76" s="1" t="s">
        <v>419</v>
      </c>
      <c r="B76" s="1" t="s">
        <v>25</v>
      </c>
      <c r="C76" s="1" t="s">
        <v>347</v>
      </c>
      <c r="D76" s="1">
        <v>111104</v>
      </c>
      <c r="E76" s="1">
        <v>19</v>
      </c>
      <c r="F76" s="1">
        <v>3</v>
      </c>
      <c r="G76" s="17" t="str">
        <f t="shared" si="3"/>
        <v>Eligible</v>
      </c>
      <c r="H76" s="17" t="str">
        <f t="shared" si="4"/>
        <v>Normal</v>
      </c>
      <c r="I76" s="17" t="str">
        <f t="shared" si="5"/>
        <v>Average</v>
      </c>
    </row>
    <row r="77" spans="1:9" x14ac:dyDescent="0.3">
      <c r="A77" t="s">
        <v>420</v>
      </c>
      <c r="B77" t="s">
        <v>21</v>
      </c>
      <c r="C77" t="s">
        <v>345</v>
      </c>
      <c r="D77">
        <v>58742</v>
      </c>
      <c r="E77">
        <v>15</v>
      </c>
      <c r="F77">
        <v>5</v>
      </c>
      <c r="G77" s="17" t="str">
        <f t="shared" si="3"/>
        <v>Eligible</v>
      </c>
      <c r="H77" s="17" t="str">
        <f t="shared" si="4"/>
        <v>Alert</v>
      </c>
      <c r="I77" s="17" t="str">
        <f t="shared" si="5"/>
        <v>Excellent</v>
      </c>
    </row>
    <row r="78" spans="1:9" x14ac:dyDescent="0.3">
      <c r="A78" s="1" t="s">
        <v>421</v>
      </c>
      <c r="B78" s="1" t="s">
        <v>17</v>
      </c>
      <c r="C78" s="1" t="s">
        <v>349</v>
      </c>
      <c r="D78" s="1">
        <v>79238</v>
      </c>
      <c r="E78" s="1">
        <v>26</v>
      </c>
      <c r="F78" s="1">
        <v>2</v>
      </c>
      <c r="G78" s="17" t="str">
        <f t="shared" si="3"/>
        <v>Not Eligible</v>
      </c>
      <c r="H78" s="17" t="str">
        <f t="shared" si="4"/>
        <v>Alert</v>
      </c>
      <c r="I78" s="17" t="str">
        <f t="shared" si="5"/>
        <v>Poor</v>
      </c>
    </row>
    <row r="79" spans="1:9" x14ac:dyDescent="0.3">
      <c r="A79" t="s">
        <v>422</v>
      </c>
      <c r="B79" t="s">
        <v>21</v>
      </c>
      <c r="C79" t="s">
        <v>347</v>
      </c>
      <c r="D79">
        <v>30299</v>
      </c>
      <c r="E79">
        <v>21</v>
      </c>
      <c r="F79">
        <v>4</v>
      </c>
      <c r="G79" s="17" t="str">
        <f t="shared" si="3"/>
        <v>Eligible</v>
      </c>
      <c r="H79" s="17" t="str">
        <f t="shared" si="4"/>
        <v>Normal</v>
      </c>
      <c r="I79" s="17" t="str">
        <f t="shared" si="5"/>
        <v>Good</v>
      </c>
    </row>
    <row r="80" spans="1:9" x14ac:dyDescent="0.3">
      <c r="A80" s="1" t="s">
        <v>423</v>
      </c>
      <c r="B80" s="1" t="s">
        <v>21</v>
      </c>
      <c r="C80" s="1" t="s">
        <v>349</v>
      </c>
      <c r="D80" s="1">
        <v>50968</v>
      </c>
      <c r="E80" s="1">
        <v>22</v>
      </c>
      <c r="F80" s="1">
        <v>4</v>
      </c>
      <c r="G80" s="17" t="str">
        <f t="shared" si="3"/>
        <v>Eligible</v>
      </c>
      <c r="H80" s="17" t="str">
        <f t="shared" si="4"/>
        <v>Normal</v>
      </c>
      <c r="I80" s="17" t="str">
        <f t="shared" si="5"/>
        <v>Good</v>
      </c>
    </row>
    <row r="81" spans="1:9" x14ac:dyDescent="0.3">
      <c r="A81" t="s">
        <v>424</v>
      </c>
      <c r="B81" t="s">
        <v>25</v>
      </c>
      <c r="C81" t="s">
        <v>342</v>
      </c>
      <c r="D81">
        <v>109095</v>
      </c>
      <c r="E81">
        <v>19</v>
      </c>
      <c r="F81">
        <v>4</v>
      </c>
      <c r="G81" s="17" t="str">
        <f t="shared" si="3"/>
        <v>Eligible</v>
      </c>
      <c r="H81" s="17" t="str">
        <f t="shared" si="4"/>
        <v>Normal</v>
      </c>
      <c r="I81" s="17" t="str">
        <f t="shared" si="5"/>
        <v>Good</v>
      </c>
    </row>
    <row r="82" spans="1:9" x14ac:dyDescent="0.3">
      <c r="A82" s="1" t="s">
        <v>425</v>
      </c>
      <c r="B82" s="1" t="s">
        <v>25</v>
      </c>
      <c r="C82" s="1" t="s">
        <v>347</v>
      </c>
      <c r="D82" s="1">
        <v>129579</v>
      </c>
      <c r="E82" s="1">
        <v>18</v>
      </c>
      <c r="F82" s="1">
        <v>4</v>
      </c>
      <c r="G82" s="17" t="str">
        <f t="shared" si="3"/>
        <v>Eligible</v>
      </c>
      <c r="H82" s="17" t="str">
        <f t="shared" si="4"/>
        <v>Normal</v>
      </c>
      <c r="I82" s="17" t="str">
        <f t="shared" si="5"/>
        <v>Good</v>
      </c>
    </row>
    <row r="83" spans="1:9" x14ac:dyDescent="0.3">
      <c r="A83" t="s">
        <v>426</v>
      </c>
      <c r="B83" t="s">
        <v>33</v>
      </c>
      <c r="C83" t="s">
        <v>345</v>
      </c>
      <c r="D83">
        <v>139255</v>
      </c>
      <c r="E83">
        <v>26</v>
      </c>
      <c r="F83">
        <v>4</v>
      </c>
      <c r="G83" s="17" t="str">
        <f t="shared" si="3"/>
        <v>Eligible</v>
      </c>
      <c r="H83" s="17" t="str">
        <f t="shared" si="4"/>
        <v>Normal</v>
      </c>
      <c r="I83" s="17" t="str">
        <f t="shared" si="5"/>
        <v>Good</v>
      </c>
    </row>
    <row r="84" spans="1:9" x14ac:dyDescent="0.3">
      <c r="A84" s="1" t="s">
        <v>427</v>
      </c>
      <c r="B84" s="1" t="s">
        <v>21</v>
      </c>
      <c r="C84" s="1" t="s">
        <v>345</v>
      </c>
      <c r="D84" s="1">
        <v>84093</v>
      </c>
      <c r="E84" s="1">
        <v>24</v>
      </c>
      <c r="F84" s="1">
        <v>3</v>
      </c>
      <c r="G84" s="17" t="str">
        <f t="shared" si="3"/>
        <v>Eligible</v>
      </c>
      <c r="H84" s="17" t="str">
        <f t="shared" si="4"/>
        <v>Normal</v>
      </c>
      <c r="I84" s="17" t="str">
        <f t="shared" si="5"/>
        <v>Average</v>
      </c>
    </row>
    <row r="85" spans="1:9" x14ac:dyDescent="0.3">
      <c r="A85" t="s">
        <v>428</v>
      </c>
      <c r="B85" t="s">
        <v>21</v>
      </c>
      <c r="C85" t="s">
        <v>347</v>
      </c>
      <c r="D85">
        <v>148684</v>
      </c>
      <c r="E85">
        <v>20</v>
      </c>
      <c r="F85">
        <v>1</v>
      </c>
      <c r="G85" s="17" t="str">
        <f t="shared" si="3"/>
        <v>Not Eligible</v>
      </c>
      <c r="H85" s="17" t="str">
        <f t="shared" si="4"/>
        <v>Alert</v>
      </c>
      <c r="I85" s="17" t="str">
        <f t="shared" si="5"/>
        <v>Very Poor</v>
      </c>
    </row>
    <row r="86" spans="1:9" x14ac:dyDescent="0.3">
      <c r="A86" s="1" t="s">
        <v>429</v>
      </c>
      <c r="B86" s="1" t="s">
        <v>21</v>
      </c>
      <c r="C86" s="1" t="s">
        <v>349</v>
      </c>
      <c r="D86" s="1">
        <v>139758</v>
      </c>
      <c r="E86" s="1">
        <v>21</v>
      </c>
      <c r="F86" s="1">
        <v>3</v>
      </c>
      <c r="G86" s="17" t="str">
        <f t="shared" si="3"/>
        <v>Eligible</v>
      </c>
      <c r="H86" s="17" t="str">
        <f t="shared" si="4"/>
        <v>Normal</v>
      </c>
      <c r="I86" s="17" t="str">
        <f t="shared" si="5"/>
        <v>Average</v>
      </c>
    </row>
    <row r="87" spans="1:9" x14ac:dyDescent="0.3">
      <c r="A87" t="s">
        <v>430</v>
      </c>
      <c r="B87" t="s">
        <v>17</v>
      </c>
      <c r="C87" t="s">
        <v>349</v>
      </c>
      <c r="D87">
        <v>22724</v>
      </c>
      <c r="E87">
        <v>18</v>
      </c>
      <c r="F87">
        <v>1</v>
      </c>
      <c r="G87" s="17" t="str">
        <f t="shared" si="3"/>
        <v>Not Eligible</v>
      </c>
      <c r="H87" s="17" t="str">
        <f t="shared" si="4"/>
        <v>Alert</v>
      </c>
      <c r="I87" s="17" t="str">
        <f t="shared" si="5"/>
        <v>Very Poor</v>
      </c>
    </row>
    <row r="88" spans="1:9" x14ac:dyDescent="0.3">
      <c r="A88" s="1" t="s">
        <v>431</v>
      </c>
      <c r="B88" s="1" t="s">
        <v>21</v>
      </c>
      <c r="C88" s="1" t="s">
        <v>345</v>
      </c>
      <c r="D88" s="1">
        <v>80786</v>
      </c>
      <c r="E88" s="1">
        <v>15</v>
      </c>
      <c r="F88" s="1">
        <v>1</v>
      </c>
      <c r="G88" s="17" t="str">
        <f t="shared" si="3"/>
        <v>Not Eligible</v>
      </c>
      <c r="H88" s="17" t="str">
        <f t="shared" si="4"/>
        <v>Alert</v>
      </c>
      <c r="I88" s="17" t="str">
        <f t="shared" si="5"/>
        <v>Very Poor</v>
      </c>
    </row>
    <row r="89" spans="1:9" x14ac:dyDescent="0.3">
      <c r="A89" t="s">
        <v>432</v>
      </c>
      <c r="B89" t="s">
        <v>25</v>
      </c>
      <c r="C89" t="s">
        <v>347</v>
      </c>
      <c r="D89">
        <v>83099</v>
      </c>
      <c r="E89">
        <v>26</v>
      </c>
      <c r="F89">
        <v>1</v>
      </c>
      <c r="G89" s="17" t="str">
        <f t="shared" si="3"/>
        <v>Not Eligible</v>
      </c>
      <c r="H89" s="17" t="str">
        <f t="shared" si="4"/>
        <v>Alert</v>
      </c>
      <c r="I89" s="17" t="str">
        <f t="shared" si="5"/>
        <v>Very Poor</v>
      </c>
    </row>
    <row r="90" spans="1:9" x14ac:dyDescent="0.3">
      <c r="A90" s="1" t="s">
        <v>433</v>
      </c>
      <c r="B90" s="1" t="s">
        <v>33</v>
      </c>
      <c r="C90" s="1" t="s">
        <v>347</v>
      </c>
      <c r="D90" s="1">
        <v>113672</v>
      </c>
      <c r="E90" s="1">
        <v>26</v>
      </c>
      <c r="F90" s="1">
        <v>2</v>
      </c>
      <c r="G90" s="17" t="str">
        <f t="shared" si="3"/>
        <v>Not Eligible</v>
      </c>
      <c r="H90" s="17" t="str">
        <f t="shared" si="4"/>
        <v>Alert</v>
      </c>
      <c r="I90" s="17" t="str">
        <f t="shared" si="5"/>
        <v>Poor</v>
      </c>
    </row>
    <row r="91" spans="1:9" x14ac:dyDescent="0.3">
      <c r="A91" t="s">
        <v>434</v>
      </c>
      <c r="B91" t="s">
        <v>25</v>
      </c>
      <c r="C91" t="s">
        <v>342</v>
      </c>
      <c r="D91">
        <v>131664</v>
      </c>
      <c r="E91">
        <v>21</v>
      </c>
      <c r="F91">
        <v>5</v>
      </c>
      <c r="G91" s="17" t="str">
        <f t="shared" si="3"/>
        <v>Eligible</v>
      </c>
      <c r="H91" s="17" t="str">
        <f t="shared" si="4"/>
        <v>Normal</v>
      </c>
      <c r="I91" s="17" t="str">
        <f t="shared" si="5"/>
        <v>Excellent</v>
      </c>
    </row>
    <row r="92" spans="1:9" x14ac:dyDescent="0.3">
      <c r="A92" s="1" t="s">
        <v>435</v>
      </c>
      <c r="B92" s="1" t="s">
        <v>17</v>
      </c>
      <c r="C92" s="1" t="s">
        <v>342</v>
      </c>
      <c r="D92" s="1">
        <v>88658</v>
      </c>
      <c r="E92" s="1">
        <v>21</v>
      </c>
      <c r="F92" s="1">
        <v>2</v>
      </c>
      <c r="G92" s="17" t="str">
        <f t="shared" si="3"/>
        <v>Not Eligible</v>
      </c>
      <c r="H92" s="17" t="str">
        <f t="shared" si="4"/>
        <v>Alert</v>
      </c>
      <c r="I92" s="17" t="str">
        <f t="shared" si="5"/>
        <v>Poor</v>
      </c>
    </row>
    <row r="93" spans="1:9" x14ac:dyDescent="0.3">
      <c r="A93" t="s">
        <v>436</v>
      </c>
      <c r="B93" t="s">
        <v>17</v>
      </c>
      <c r="C93" t="s">
        <v>345</v>
      </c>
      <c r="D93">
        <v>119010</v>
      </c>
      <c r="E93">
        <v>24</v>
      </c>
      <c r="F93">
        <v>3</v>
      </c>
      <c r="G93" s="17" t="str">
        <f t="shared" si="3"/>
        <v>Eligible</v>
      </c>
      <c r="H93" s="17" t="str">
        <f t="shared" si="4"/>
        <v>Normal</v>
      </c>
      <c r="I93" s="17" t="str">
        <f t="shared" si="5"/>
        <v>Average</v>
      </c>
    </row>
    <row r="94" spans="1:9" x14ac:dyDescent="0.3">
      <c r="A94" s="1" t="s">
        <v>437</v>
      </c>
      <c r="B94" s="1" t="s">
        <v>17</v>
      </c>
      <c r="C94" s="1" t="s">
        <v>349</v>
      </c>
      <c r="D94" s="1">
        <v>31698</v>
      </c>
      <c r="E94" s="1">
        <v>19</v>
      </c>
      <c r="F94" s="1">
        <v>5</v>
      </c>
      <c r="G94" s="17" t="str">
        <f t="shared" si="3"/>
        <v>Eligible</v>
      </c>
      <c r="H94" s="17" t="str">
        <f t="shared" si="4"/>
        <v>Normal</v>
      </c>
      <c r="I94" s="17" t="str">
        <f t="shared" si="5"/>
        <v>Excellent</v>
      </c>
    </row>
    <row r="95" spans="1:9" x14ac:dyDescent="0.3">
      <c r="A95" t="s">
        <v>438</v>
      </c>
      <c r="B95" t="s">
        <v>21</v>
      </c>
      <c r="C95" t="s">
        <v>345</v>
      </c>
      <c r="D95">
        <v>134221</v>
      </c>
      <c r="E95">
        <v>16</v>
      </c>
      <c r="F95">
        <v>1</v>
      </c>
      <c r="G95" s="17" t="str">
        <f t="shared" si="3"/>
        <v>Not Eligible</v>
      </c>
      <c r="H95" s="17" t="str">
        <f t="shared" si="4"/>
        <v>Alert</v>
      </c>
      <c r="I95" s="17" t="str">
        <f t="shared" si="5"/>
        <v>Very Poor</v>
      </c>
    </row>
    <row r="96" spans="1:9" x14ac:dyDescent="0.3">
      <c r="A96" s="1" t="s">
        <v>439</v>
      </c>
      <c r="B96" s="1" t="s">
        <v>17</v>
      </c>
      <c r="C96" s="1" t="s">
        <v>345</v>
      </c>
      <c r="D96" s="1">
        <v>109461</v>
      </c>
      <c r="E96" s="1">
        <v>25</v>
      </c>
      <c r="F96" s="1">
        <v>5</v>
      </c>
      <c r="G96" s="17" t="str">
        <f t="shared" si="3"/>
        <v>Eligible</v>
      </c>
      <c r="H96" s="17" t="str">
        <f t="shared" si="4"/>
        <v>Normal</v>
      </c>
      <c r="I96" s="17" t="str">
        <f t="shared" si="5"/>
        <v>Excellent</v>
      </c>
    </row>
    <row r="97" spans="1:9" x14ac:dyDescent="0.3">
      <c r="A97" t="s">
        <v>440</v>
      </c>
      <c r="B97" t="s">
        <v>17</v>
      </c>
      <c r="C97" t="s">
        <v>347</v>
      </c>
      <c r="D97">
        <v>95968</v>
      </c>
      <c r="E97">
        <v>17</v>
      </c>
      <c r="G97" s="17" t="str">
        <f t="shared" si="3"/>
        <v>Not Eligible</v>
      </c>
      <c r="H97" s="17" t="str">
        <f t="shared" si="4"/>
        <v>Alert</v>
      </c>
      <c r="I97" s="17" t="str">
        <f t="shared" si="5"/>
        <v>No Rating</v>
      </c>
    </row>
    <row r="98" spans="1:9" x14ac:dyDescent="0.3">
      <c r="A98" s="1" t="s">
        <v>441</v>
      </c>
      <c r="B98" s="1" t="s">
        <v>33</v>
      </c>
      <c r="C98" s="1" t="s">
        <v>349</v>
      </c>
      <c r="D98" s="1">
        <v>44807</v>
      </c>
      <c r="E98" s="1">
        <v>17</v>
      </c>
      <c r="F98" s="1"/>
      <c r="G98" s="17" t="str">
        <f t="shared" si="3"/>
        <v>Not Eligible</v>
      </c>
      <c r="H98" s="17" t="str">
        <f t="shared" si="4"/>
        <v>Alert</v>
      </c>
      <c r="I98" s="17" t="str">
        <f t="shared" si="5"/>
        <v>No Rating</v>
      </c>
    </row>
    <row r="99" spans="1:9" x14ac:dyDescent="0.3">
      <c r="A99" t="s">
        <v>442</v>
      </c>
      <c r="B99" t="s">
        <v>25</v>
      </c>
      <c r="C99" t="s">
        <v>345</v>
      </c>
      <c r="D99">
        <v>67334</v>
      </c>
      <c r="E99">
        <v>21</v>
      </c>
      <c r="F99">
        <v>1</v>
      </c>
      <c r="G99" s="17" t="str">
        <f t="shared" si="3"/>
        <v>Not Eligible</v>
      </c>
      <c r="H99" s="17" t="str">
        <f t="shared" si="4"/>
        <v>Alert</v>
      </c>
      <c r="I99" s="17" t="str">
        <f t="shared" si="5"/>
        <v>Very Poor</v>
      </c>
    </row>
    <row r="100" spans="1:9" x14ac:dyDescent="0.3">
      <c r="A100" s="1" t="s">
        <v>443</v>
      </c>
      <c r="B100" s="1" t="s">
        <v>17</v>
      </c>
      <c r="C100" s="1" t="s">
        <v>349</v>
      </c>
      <c r="D100" s="1">
        <v>62706</v>
      </c>
      <c r="E100" s="1">
        <v>16</v>
      </c>
      <c r="F100" s="1">
        <v>2</v>
      </c>
      <c r="G100" s="17" t="str">
        <f t="shared" si="3"/>
        <v>Not Eligible</v>
      </c>
      <c r="H100" s="17" t="str">
        <f t="shared" si="4"/>
        <v>Alert</v>
      </c>
      <c r="I100" s="17" t="str">
        <f t="shared" si="5"/>
        <v>Poor</v>
      </c>
    </row>
    <row r="101" spans="1:9" x14ac:dyDescent="0.3">
      <c r="A101" t="s">
        <v>444</v>
      </c>
      <c r="B101" t="s">
        <v>33</v>
      </c>
      <c r="C101" t="s">
        <v>349</v>
      </c>
      <c r="D101">
        <v>44490</v>
      </c>
      <c r="E101">
        <v>24</v>
      </c>
      <c r="G101" s="17" t="str">
        <f t="shared" si="3"/>
        <v>Not Eligible</v>
      </c>
      <c r="H101" s="17" t="str">
        <f t="shared" si="4"/>
        <v>Alert</v>
      </c>
      <c r="I101" s="17" t="str">
        <f t="shared" si="5"/>
        <v>No Rating</v>
      </c>
    </row>
    <row r="102" spans="1:9" x14ac:dyDescent="0.3">
      <c r="A102" s="1" t="s">
        <v>445</v>
      </c>
      <c r="B102" s="1" t="s">
        <v>25</v>
      </c>
      <c r="C102" s="1" t="s">
        <v>347</v>
      </c>
      <c r="D102" s="1">
        <v>93771</v>
      </c>
      <c r="E102" s="1">
        <v>18</v>
      </c>
      <c r="F102" s="1">
        <v>3</v>
      </c>
      <c r="G102" s="17" t="str">
        <f t="shared" si="3"/>
        <v>Eligible</v>
      </c>
      <c r="H102" s="17" t="str">
        <f t="shared" si="4"/>
        <v>Normal</v>
      </c>
      <c r="I102" s="17" t="str">
        <f t="shared" si="5"/>
        <v>Average</v>
      </c>
    </row>
    <row r="103" spans="1:9" x14ac:dyDescent="0.3">
      <c r="A103" t="s">
        <v>446</v>
      </c>
      <c r="B103" t="s">
        <v>25</v>
      </c>
      <c r="C103" t="s">
        <v>342</v>
      </c>
      <c r="D103">
        <v>117534</v>
      </c>
      <c r="E103">
        <v>25</v>
      </c>
      <c r="F103">
        <v>5</v>
      </c>
      <c r="G103" s="17" t="str">
        <f t="shared" si="3"/>
        <v>Eligible</v>
      </c>
      <c r="H103" s="17" t="str">
        <f t="shared" si="4"/>
        <v>Normal</v>
      </c>
      <c r="I103" s="17" t="str">
        <f t="shared" si="5"/>
        <v>Excellent</v>
      </c>
    </row>
    <row r="104" spans="1:9" x14ac:dyDescent="0.3">
      <c r="A104" s="1" t="s">
        <v>447</v>
      </c>
      <c r="B104" s="1" t="s">
        <v>21</v>
      </c>
      <c r="C104" s="1" t="s">
        <v>345</v>
      </c>
      <c r="D104" s="1">
        <v>135855</v>
      </c>
      <c r="E104" s="1">
        <v>16</v>
      </c>
      <c r="F104" s="1">
        <v>5</v>
      </c>
      <c r="G104" s="17" t="str">
        <f t="shared" si="3"/>
        <v>Eligible</v>
      </c>
      <c r="H104" s="17" t="str">
        <f t="shared" si="4"/>
        <v>Alert</v>
      </c>
      <c r="I104" s="17" t="str">
        <f t="shared" si="5"/>
        <v>Excellent</v>
      </c>
    </row>
    <row r="105" spans="1:9" x14ac:dyDescent="0.3">
      <c r="A105" t="s">
        <v>448</v>
      </c>
      <c r="B105" t="s">
        <v>21</v>
      </c>
      <c r="C105" t="s">
        <v>349</v>
      </c>
      <c r="D105">
        <v>83768</v>
      </c>
      <c r="E105">
        <v>21</v>
      </c>
      <c r="F105">
        <v>3</v>
      </c>
      <c r="G105" s="17" t="str">
        <f t="shared" si="3"/>
        <v>Eligible</v>
      </c>
      <c r="H105" s="17" t="str">
        <f t="shared" si="4"/>
        <v>Normal</v>
      </c>
      <c r="I105" s="17" t="str">
        <f t="shared" si="5"/>
        <v>Average</v>
      </c>
    </row>
    <row r="106" spans="1:9" x14ac:dyDescent="0.3">
      <c r="A106" s="1" t="s">
        <v>449</v>
      </c>
      <c r="B106" s="1" t="s">
        <v>25</v>
      </c>
      <c r="C106" s="1" t="s">
        <v>342</v>
      </c>
      <c r="D106" s="1">
        <v>134657</v>
      </c>
      <c r="E106" s="1">
        <v>17</v>
      </c>
      <c r="F106" s="1">
        <v>4</v>
      </c>
      <c r="G106" s="17" t="str">
        <f t="shared" si="3"/>
        <v>Eligible</v>
      </c>
      <c r="H106" s="17" t="str">
        <f t="shared" si="4"/>
        <v>Alert</v>
      </c>
      <c r="I106" s="17" t="str">
        <f t="shared" si="5"/>
        <v>Good</v>
      </c>
    </row>
    <row r="107" spans="1:9" x14ac:dyDescent="0.3">
      <c r="A107" t="s">
        <v>450</v>
      </c>
      <c r="B107" t="s">
        <v>21</v>
      </c>
      <c r="C107" t="s">
        <v>342</v>
      </c>
      <c r="D107">
        <v>55999</v>
      </c>
      <c r="E107">
        <v>18</v>
      </c>
      <c r="F107">
        <v>2</v>
      </c>
      <c r="G107" s="17" t="str">
        <f t="shared" si="3"/>
        <v>Not Eligible</v>
      </c>
      <c r="H107" s="17" t="str">
        <f t="shared" si="4"/>
        <v>Alert</v>
      </c>
      <c r="I107" s="17" t="str">
        <f t="shared" si="5"/>
        <v>Poor</v>
      </c>
    </row>
    <row r="108" spans="1:9" x14ac:dyDescent="0.3">
      <c r="A108" s="1" t="s">
        <v>451</v>
      </c>
      <c r="B108" s="1" t="s">
        <v>25</v>
      </c>
      <c r="C108" s="1" t="s">
        <v>347</v>
      </c>
      <c r="D108" s="1">
        <v>106944</v>
      </c>
      <c r="E108" s="1">
        <v>25</v>
      </c>
      <c r="F108" s="1">
        <v>1</v>
      </c>
      <c r="G108" s="17" t="str">
        <f t="shared" si="3"/>
        <v>Not Eligible</v>
      </c>
      <c r="H108" s="17" t="str">
        <f t="shared" si="4"/>
        <v>Alert</v>
      </c>
      <c r="I108" s="17" t="str">
        <f t="shared" si="5"/>
        <v>Very Poor</v>
      </c>
    </row>
    <row r="109" spans="1:9" x14ac:dyDescent="0.3">
      <c r="A109" t="s">
        <v>452</v>
      </c>
      <c r="B109" t="s">
        <v>21</v>
      </c>
      <c r="C109" t="s">
        <v>347</v>
      </c>
      <c r="D109">
        <v>24151</v>
      </c>
      <c r="E109">
        <v>17</v>
      </c>
      <c r="F109">
        <v>3</v>
      </c>
      <c r="G109" s="17" t="str">
        <f t="shared" si="3"/>
        <v>Eligible</v>
      </c>
      <c r="H109" s="17" t="str">
        <f t="shared" si="4"/>
        <v>Alert</v>
      </c>
      <c r="I109" s="17" t="str">
        <f t="shared" si="5"/>
        <v>Average</v>
      </c>
    </row>
    <row r="110" spans="1:9" x14ac:dyDescent="0.3">
      <c r="A110" s="1" t="s">
        <v>453</v>
      </c>
      <c r="B110" s="1" t="s">
        <v>25</v>
      </c>
      <c r="C110" s="1" t="s">
        <v>347</v>
      </c>
      <c r="D110" s="1">
        <v>148724</v>
      </c>
      <c r="E110" s="1">
        <v>23</v>
      </c>
      <c r="F110" s="1">
        <v>1</v>
      </c>
      <c r="G110" s="17" t="str">
        <f t="shared" si="3"/>
        <v>Not Eligible</v>
      </c>
      <c r="H110" s="17" t="str">
        <f t="shared" si="4"/>
        <v>Alert</v>
      </c>
      <c r="I110" s="17" t="str">
        <f t="shared" si="5"/>
        <v>Very Poor</v>
      </c>
    </row>
    <row r="111" spans="1:9" x14ac:dyDescent="0.3">
      <c r="A111" t="s">
        <v>454</v>
      </c>
      <c r="B111" t="s">
        <v>33</v>
      </c>
      <c r="C111" t="s">
        <v>342</v>
      </c>
      <c r="D111">
        <v>88592</v>
      </c>
      <c r="E111">
        <v>16</v>
      </c>
      <c r="F111">
        <v>3</v>
      </c>
      <c r="G111" s="17" t="str">
        <f t="shared" si="3"/>
        <v>Eligible</v>
      </c>
      <c r="H111" s="17" t="str">
        <f t="shared" si="4"/>
        <v>Alert</v>
      </c>
      <c r="I111" s="17" t="str">
        <f t="shared" si="5"/>
        <v>Average</v>
      </c>
    </row>
    <row r="112" spans="1:9" x14ac:dyDescent="0.3">
      <c r="A112" s="1" t="s">
        <v>455</v>
      </c>
      <c r="B112" s="1" t="s">
        <v>25</v>
      </c>
      <c r="C112" s="1" t="s">
        <v>349</v>
      </c>
      <c r="D112" s="1">
        <v>42533</v>
      </c>
      <c r="E112" s="1">
        <v>16</v>
      </c>
      <c r="F112" s="1">
        <v>3</v>
      </c>
      <c r="G112" s="17" t="str">
        <f t="shared" si="3"/>
        <v>Eligible</v>
      </c>
      <c r="H112" s="17" t="str">
        <f t="shared" si="4"/>
        <v>Alert</v>
      </c>
      <c r="I112" s="17" t="str">
        <f t="shared" si="5"/>
        <v>Average</v>
      </c>
    </row>
    <row r="113" spans="1:9" x14ac:dyDescent="0.3">
      <c r="A113" t="s">
        <v>456</v>
      </c>
      <c r="B113" t="s">
        <v>33</v>
      </c>
      <c r="C113" t="s">
        <v>349</v>
      </c>
      <c r="D113">
        <v>52911</v>
      </c>
      <c r="E113">
        <v>22</v>
      </c>
      <c r="G113" s="17" t="str">
        <f t="shared" si="3"/>
        <v>Not Eligible</v>
      </c>
      <c r="H113" s="17" t="str">
        <f t="shared" si="4"/>
        <v>Alert</v>
      </c>
      <c r="I113" s="17" t="str">
        <f t="shared" si="5"/>
        <v>No Rating</v>
      </c>
    </row>
    <row r="114" spans="1:9" x14ac:dyDescent="0.3">
      <c r="A114" s="1" t="s">
        <v>457</v>
      </c>
      <c r="B114" s="1" t="s">
        <v>33</v>
      </c>
      <c r="C114" s="1" t="s">
        <v>345</v>
      </c>
      <c r="D114" s="1">
        <v>78010</v>
      </c>
      <c r="E114" s="1">
        <v>26</v>
      </c>
      <c r="F114" s="1">
        <v>2</v>
      </c>
      <c r="G114" s="17" t="str">
        <f t="shared" si="3"/>
        <v>Not Eligible</v>
      </c>
      <c r="H114" s="17" t="str">
        <f t="shared" si="4"/>
        <v>Alert</v>
      </c>
      <c r="I114" s="17" t="str">
        <f t="shared" si="5"/>
        <v>Poor</v>
      </c>
    </row>
    <row r="115" spans="1:9" x14ac:dyDescent="0.3">
      <c r="A115" t="s">
        <v>458</v>
      </c>
      <c r="B115" t="s">
        <v>17</v>
      </c>
      <c r="C115" t="s">
        <v>342</v>
      </c>
      <c r="D115">
        <v>74400</v>
      </c>
      <c r="E115">
        <v>18</v>
      </c>
      <c r="F115">
        <v>5</v>
      </c>
      <c r="G115" s="17" t="str">
        <f t="shared" si="3"/>
        <v>Eligible</v>
      </c>
      <c r="H115" s="17" t="str">
        <f t="shared" si="4"/>
        <v>Normal</v>
      </c>
      <c r="I115" s="17" t="str">
        <f t="shared" si="5"/>
        <v>Excellent</v>
      </c>
    </row>
    <row r="116" spans="1:9" x14ac:dyDescent="0.3">
      <c r="A116" s="1" t="s">
        <v>459</v>
      </c>
      <c r="B116" s="1" t="s">
        <v>25</v>
      </c>
      <c r="C116" s="1" t="s">
        <v>347</v>
      </c>
      <c r="D116" s="1">
        <v>42557</v>
      </c>
      <c r="E116" s="1">
        <v>15</v>
      </c>
      <c r="F116" s="1">
        <v>2</v>
      </c>
      <c r="G116" s="17" t="str">
        <f t="shared" si="3"/>
        <v>Not Eligible</v>
      </c>
      <c r="H116" s="17" t="str">
        <f t="shared" si="4"/>
        <v>Alert</v>
      </c>
      <c r="I116" s="17" t="str">
        <f t="shared" si="5"/>
        <v>Poor</v>
      </c>
    </row>
    <row r="117" spans="1:9" x14ac:dyDescent="0.3">
      <c r="A117" t="s">
        <v>460</v>
      </c>
      <c r="B117" t="s">
        <v>21</v>
      </c>
      <c r="C117" t="s">
        <v>342</v>
      </c>
      <c r="D117">
        <v>80257</v>
      </c>
      <c r="E117">
        <v>22</v>
      </c>
      <c r="F117">
        <v>1</v>
      </c>
      <c r="G117" s="17" t="str">
        <f t="shared" si="3"/>
        <v>Not Eligible</v>
      </c>
      <c r="H117" s="17" t="str">
        <f t="shared" si="4"/>
        <v>Alert</v>
      </c>
      <c r="I117" s="17" t="str">
        <f t="shared" si="5"/>
        <v>Very Poor</v>
      </c>
    </row>
    <row r="118" spans="1:9" x14ac:dyDescent="0.3">
      <c r="A118" s="1" t="s">
        <v>461</v>
      </c>
      <c r="B118" s="1" t="s">
        <v>21</v>
      </c>
      <c r="C118" s="1" t="s">
        <v>345</v>
      </c>
      <c r="D118" s="1">
        <v>135030</v>
      </c>
      <c r="E118" s="1">
        <v>25</v>
      </c>
      <c r="F118" s="1">
        <v>3</v>
      </c>
      <c r="G118" s="17" t="str">
        <f t="shared" si="3"/>
        <v>Eligible</v>
      </c>
      <c r="H118" s="17" t="str">
        <f t="shared" si="4"/>
        <v>Normal</v>
      </c>
      <c r="I118" s="17" t="str">
        <f t="shared" si="5"/>
        <v>Average</v>
      </c>
    </row>
    <row r="119" spans="1:9" x14ac:dyDescent="0.3">
      <c r="A119" t="s">
        <v>462</v>
      </c>
      <c r="B119" t="s">
        <v>25</v>
      </c>
      <c r="C119" t="s">
        <v>349</v>
      </c>
      <c r="D119">
        <v>43511</v>
      </c>
      <c r="E119">
        <v>26</v>
      </c>
      <c r="F119">
        <v>3</v>
      </c>
      <c r="G119" s="17" t="str">
        <f t="shared" si="3"/>
        <v>Eligible</v>
      </c>
      <c r="H119" s="17" t="str">
        <f t="shared" si="4"/>
        <v>Normal</v>
      </c>
      <c r="I119" s="17" t="str">
        <f t="shared" si="5"/>
        <v>Average</v>
      </c>
    </row>
    <row r="120" spans="1:9" x14ac:dyDescent="0.3">
      <c r="A120" s="1" t="s">
        <v>463</v>
      </c>
      <c r="B120" s="1" t="s">
        <v>25</v>
      </c>
      <c r="C120" s="1" t="s">
        <v>345</v>
      </c>
      <c r="D120" s="1">
        <v>143509</v>
      </c>
      <c r="E120" s="1">
        <v>24</v>
      </c>
      <c r="F120" s="1">
        <v>4</v>
      </c>
      <c r="G120" s="17" t="str">
        <f t="shared" si="3"/>
        <v>Eligible</v>
      </c>
      <c r="H120" s="17" t="str">
        <f t="shared" si="4"/>
        <v>Normal</v>
      </c>
      <c r="I120" s="17" t="str">
        <f t="shared" si="5"/>
        <v>Good</v>
      </c>
    </row>
    <row r="121" spans="1:9" x14ac:dyDescent="0.3">
      <c r="A121" t="s">
        <v>464</v>
      </c>
      <c r="B121" t="s">
        <v>17</v>
      </c>
      <c r="C121" t="s">
        <v>342</v>
      </c>
      <c r="D121">
        <v>68634</v>
      </c>
      <c r="E121">
        <v>20</v>
      </c>
      <c r="F121">
        <v>2</v>
      </c>
      <c r="G121" s="17" t="str">
        <f t="shared" si="3"/>
        <v>Not Eligible</v>
      </c>
      <c r="H121" s="17" t="str">
        <f t="shared" si="4"/>
        <v>Alert</v>
      </c>
      <c r="I121" s="17" t="str">
        <f t="shared" si="5"/>
        <v>Poor</v>
      </c>
    </row>
    <row r="122" spans="1:9" x14ac:dyDescent="0.3">
      <c r="A122" s="1" t="s">
        <v>465</v>
      </c>
      <c r="B122" s="1" t="s">
        <v>25</v>
      </c>
      <c r="C122" s="1" t="s">
        <v>342</v>
      </c>
      <c r="D122" s="1">
        <v>46987</v>
      </c>
      <c r="E122" s="1">
        <v>21</v>
      </c>
      <c r="F122" s="1"/>
      <c r="G122" s="17" t="str">
        <f t="shared" si="3"/>
        <v>Not Eligible</v>
      </c>
      <c r="H122" s="17" t="str">
        <f t="shared" si="4"/>
        <v>Alert</v>
      </c>
      <c r="I122" s="17" t="str">
        <f t="shared" si="5"/>
        <v>No Rating</v>
      </c>
    </row>
    <row r="123" spans="1:9" x14ac:dyDescent="0.3">
      <c r="A123" t="s">
        <v>466</v>
      </c>
      <c r="B123" t="s">
        <v>33</v>
      </c>
      <c r="C123" t="s">
        <v>349</v>
      </c>
      <c r="D123">
        <v>23204</v>
      </c>
      <c r="E123">
        <v>17</v>
      </c>
      <c r="F123">
        <v>2</v>
      </c>
      <c r="G123" s="17" t="str">
        <f t="shared" si="3"/>
        <v>Not Eligible</v>
      </c>
      <c r="H123" s="17" t="str">
        <f t="shared" si="4"/>
        <v>Alert</v>
      </c>
      <c r="I123" s="17" t="str">
        <f t="shared" si="5"/>
        <v>Poor</v>
      </c>
    </row>
    <row r="124" spans="1:9" x14ac:dyDescent="0.3">
      <c r="A124" s="1" t="s">
        <v>467</v>
      </c>
      <c r="B124" s="1" t="s">
        <v>25</v>
      </c>
      <c r="C124" s="1" t="s">
        <v>347</v>
      </c>
      <c r="D124" s="1">
        <v>124642</v>
      </c>
      <c r="E124" s="1">
        <v>22</v>
      </c>
      <c r="F124" s="1">
        <v>1</v>
      </c>
      <c r="G124" s="17" t="str">
        <f t="shared" si="3"/>
        <v>Not Eligible</v>
      </c>
      <c r="H124" s="17" t="str">
        <f t="shared" si="4"/>
        <v>Alert</v>
      </c>
      <c r="I124" s="17" t="str">
        <f t="shared" si="5"/>
        <v>Very Poor</v>
      </c>
    </row>
    <row r="125" spans="1:9" x14ac:dyDescent="0.3">
      <c r="A125" t="s">
        <v>468</v>
      </c>
      <c r="B125" t="s">
        <v>25</v>
      </c>
      <c r="C125" t="s">
        <v>349</v>
      </c>
      <c r="D125">
        <v>75427</v>
      </c>
      <c r="E125">
        <v>17</v>
      </c>
      <c r="F125">
        <v>3</v>
      </c>
      <c r="G125" s="17" t="str">
        <f t="shared" si="3"/>
        <v>Eligible</v>
      </c>
      <c r="H125" s="17" t="str">
        <f t="shared" si="4"/>
        <v>Alert</v>
      </c>
      <c r="I125" s="17" t="str">
        <f t="shared" si="5"/>
        <v>Average</v>
      </c>
    </row>
    <row r="126" spans="1:9" x14ac:dyDescent="0.3">
      <c r="A126" s="1" t="s">
        <v>469</v>
      </c>
      <c r="B126" s="1" t="s">
        <v>21</v>
      </c>
      <c r="C126" s="1" t="s">
        <v>345</v>
      </c>
      <c r="D126" s="1">
        <v>88504</v>
      </c>
      <c r="E126" s="1">
        <v>26</v>
      </c>
      <c r="F126" s="1">
        <v>5</v>
      </c>
      <c r="G126" s="17" t="str">
        <f t="shared" si="3"/>
        <v>Eligible</v>
      </c>
      <c r="H126" s="17" t="str">
        <f t="shared" si="4"/>
        <v>Normal</v>
      </c>
      <c r="I126" s="17" t="str">
        <f t="shared" si="5"/>
        <v>Excellent</v>
      </c>
    </row>
    <row r="127" spans="1:9" x14ac:dyDescent="0.3">
      <c r="A127" t="s">
        <v>470</v>
      </c>
      <c r="B127" t="s">
        <v>33</v>
      </c>
      <c r="C127" t="s">
        <v>342</v>
      </c>
      <c r="D127">
        <v>110164</v>
      </c>
      <c r="E127">
        <v>22</v>
      </c>
      <c r="F127">
        <v>5</v>
      </c>
      <c r="G127" s="17" t="str">
        <f t="shared" si="3"/>
        <v>Eligible</v>
      </c>
      <c r="H127" s="17" t="str">
        <f t="shared" si="4"/>
        <v>Normal</v>
      </c>
      <c r="I127" s="17" t="str">
        <f t="shared" si="5"/>
        <v>Excellent</v>
      </c>
    </row>
    <row r="128" spans="1:9" x14ac:dyDescent="0.3">
      <c r="A128" s="1" t="s">
        <v>471</v>
      </c>
      <c r="B128" s="1" t="s">
        <v>25</v>
      </c>
      <c r="C128" s="1" t="s">
        <v>347</v>
      </c>
      <c r="D128" s="1">
        <v>62374</v>
      </c>
      <c r="E128" s="1">
        <v>16</v>
      </c>
      <c r="F128" s="1">
        <v>2</v>
      </c>
      <c r="G128" s="17" t="str">
        <f t="shared" si="3"/>
        <v>Not Eligible</v>
      </c>
      <c r="H128" s="17" t="str">
        <f t="shared" si="4"/>
        <v>Alert</v>
      </c>
      <c r="I128" s="17" t="str">
        <f t="shared" si="5"/>
        <v>Poor</v>
      </c>
    </row>
    <row r="129" spans="1:9" x14ac:dyDescent="0.3">
      <c r="A129" t="s">
        <v>472</v>
      </c>
      <c r="B129" t="s">
        <v>25</v>
      </c>
      <c r="C129" t="s">
        <v>345</v>
      </c>
      <c r="D129">
        <v>83855</v>
      </c>
      <c r="E129">
        <v>21</v>
      </c>
      <c r="F129">
        <v>4</v>
      </c>
      <c r="G129" s="17" t="str">
        <f t="shared" si="3"/>
        <v>Eligible</v>
      </c>
      <c r="H129" s="17" t="str">
        <f t="shared" si="4"/>
        <v>Normal</v>
      </c>
      <c r="I129" s="17" t="str">
        <f t="shared" si="5"/>
        <v>Good</v>
      </c>
    </row>
    <row r="130" spans="1:9" x14ac:dyDescent="0.3">
      <c r="A130" s="1" t="s">
        <v>473</v>
      </c>
      <c r="B130" s="1" t="s">
        <v>33</v>
      </c>
      <c r="C130" s="1" t="s">
        <v>347</v>
      </c>
      <c r="D130" s="1">
        <v>104663</v>
      </c>
      <c r="E130" s="1">
        <v>17</v>
      </c>
      <c r="F130" s="1">
        <v>1</v>
      </c>
      <c r="G130" s="17" t="str">
        <f t="shared" si="3"/>
        <v>Not Eligible</v>
      </c>
      <c r="H130" s="17" t="str">
        <f t="shared" si="4"/>
        <v>Alert</v>
      </c>
      <c r="I130" s="17" t="str">
        <f t="shared" si="5"/>
        <v>Very Poor</v>
      </c>
    </row>
    <row r="131" spans="1:9" x14ac:dyDescent="0.3">
      <c r="A131" t="s">
        <v>474</v>
      </c>
      <c r="B131" t="s">
        <v>21</v>
      </c>
      <c r="C131" t="s">
        <v>345</v>
      </c>
      <c r="D131">
        <v>146493</v>
      </c>
      <c r="E131">
        <v>17</v>
      </c>
      <c r="F131">
        <v>2</v>
      </c>
      <c r="G131" s="17" t="str">
        <f t="shared" ref="G131:G194" si="6">IF(F131&gt;=3,"Eligible","Not Eligible")</f>
        <v>Not Eligible</v>
      </c>
      <c r="H131" s="17" t="str">
        <f t="shared" ref="H131:H194" si="7">IF(OR(F131&lt;=2,E131&lt;18),"Alert","Normal")</f>
        <v>Alert</v>
      </c>
      <c r="I131" s="17" t="str">
        <f t="shared" ref="I131:I194" si="8">IF(F131=5,"Excellent",IF(F131=4,"Good",IF(F131=3,"Average",IF(F131=2,"Poor",IF(F131=1,"Very Poor","No Rating")))))</f>
        <v>Poor</v>
      </c>
    </row>
    <row r="132" spans="1:9" x14ac:dyDescent="0.3">
      <c r="A132" s="1" t="s">
        <v>475</v>
      </c>
      <c r="B132" s="1" t="s">
        <v>17</v>
      </c>
      <c r="C132" s="1" t="s">
        <v>342</v>
      </c>
      <c r="D132" s="1">
        <v>110281</v>
      </c>
      <c r="E132" s="1">
        <v>26</v>
      </c>
      <c r="F132" s="1">
        <v>5</v>
      </c>
      <c r="G132" s="17" t="str">
        <f t="shared" si="6"/>
        <v>Eligible</v>
      </c>
      <c r="H132" s="17" t="str">
        <f t="shared" si="7"/>
        <v>Normal</v>
      </c>
      <c r="I132" s="17" t="str">
        <f t="shared" si="8"/>
        <v>Excellent</v>
      </c>
    </row>
    <row r="133" spans="1:9" x14ac:dyDescent="0.3">
      <c r="A133" t="s">
        <v>476</v>
      </c>
      <c r="B133" t="s">
        <v>21</v>
      </c>
      <c r="C133" t="s">
        <v>349</v>
      </c>
      <c r="D133">
        <v>50780</v>
      </c>
      <c r="E133">
        <v>25</v>
      </c>
      <c r="F133">
        <v>5</v>
      </c>
      <c r="G133" s="17" t="str">
        <f t="shared" si="6"/>
        <v>Eligible</v>
      </c>
      <c r="H133" s="17" t="str">
        <f t="shared" si="7"/>
        <v>Normal</v>
      </c>
      <c r="I133" s="17" t="str">
        <f t="shared" si="8"/>
        <v>Excellent</v>
      </c>
    </row>
    <row r="134" spans="1:9" x14ac:dyDescent="0.3">
      <c r="A134" s="1" t="s">
        <v>477</v>
      </c>
      <c r="B134" s="1" t="s">
        <v>25</v>
      </c>
      <c r="C134" s="1" t="s">
        <v>345</v>
      </c>
      <c r="D134" s="1">
        <v>65705</v>
      </c>
      <c r="E134" s="1">
        <v>18</v>
      </c>
      <c r="F134" s="1"/>
      <c r="G134" s="17" t="str">
        <f t="shared" si="6"/>
        <v>Not Eligible</v>
      </c>
      <c r="H134" s="17" t="str">
        <f t="shared" si="7"/>
        <v>Alert</v>
      </c>
      <c r="I134" s="17" t="str">
        <f t="shared" si="8"/>
        <v>No Rating</v>
      </c>
    </row>
    <row r="135" spans="1:9" x14ac:dyDescent="0.3">
      <c r="A135" t="s">
        <v>478</v>
      </c>
      <c r="B135" t="s">
        <v>17</v>
      </c>
      <c r="C135" t="s">
        <v>347</v>
      </c>
      <c r="D135">
        <v>70048</v>
      </c>
      <c r="E135">
        <v>16</v>
      </c>
      <c r="F135">
        <v>5</v>
      </c>
      <c r="G135" s="17" t="str">
        <f t="shared" si="6"/>
        <v>Eligible</v>
      </c>
      <c r="H135" s="17" t="str">
        <f t="shared" si="7"/>
        <v>Alert</v>
      </c>
      <c r="I135" s="17" t="str">
        <f t="shared" si="8"/>
        <v>Excellent</v>
      </c>
    </row>
    <row r="136" spans="1:9" x14ac:dyDescent="0.3">
      <c r="A136" s="1" t="s">
        <v>479</v>
      </c>
      <c r="B136" s="1" t="s">
        <v>25</v>
      </c>
      <c r="C136" s="1" t="s">
        <v>347</v>
      </c>
      <c r="D136" s="1">
        <v>122055</v>
      </c>
      <c r="E136" s="1">
        <v>25</v>
      </c>
      <c r="F136" s="1"/>
      <c r="G136" s="17" t="str">
        <f t="shared" si="6"/>
        <v>Not Eligible</v>
      </c>
      <c r="H136" s="17" t="str">
        <f t="shared" si="7"/>
        <v>Alert</v>
      </c>
      <c r="I136" s="17" t="str">
        <f t="shared" si="8"/>
        <v>No Rating</v>
      </c>
    </row>
    <row r="137" spans="1:9" x14ac:dyDescent="0.3">
      <c r="A137" t="s">
        <v>480</v>
      </c>
      <c r="B137" t="s">
        <v>25</v>
      </c>
      <c r="C137" t="s">
        <v>349</v>
      </c>
      <c r="D137">
        <v>82984</v>
      </c>
      <c r="E137">
        <v>23</v>
      </c>
      <c r="F137">
        <v>2</v>
      </c>
      <c r="G137" s="17" t="str">
        <f t="shared" si="6"/>
        <v>Not Eligible</v>
      </c>
      <c r="H137" s="17" t="str">
        <f t="shared" si="7"/>
        <v>Alert</v>
      </c>
      <c r="I137" s="17" t="str">
        <f t="shared" si="8"/>
        <v>Poor</v>
      </c>
    </row>
    <row r="138" spans="1:9" x14ac:dyDescent="0.3">
      <c r="A138" s="1" t="s">
        <v>481</v>
      </c>
      <c r="B138" s="1" t="s">
        <v>33</v>
      </c>
      <c r="C138" s="1" t="s">
        <v>342</v>
      </c>
      <c r="D138" s="1">
        <v>49037</v>
      </c>
      <c r="E138" s="1">
        <v>24</v>
      </c>
      <c r="F138" s="1">
        <v>1</v>
      </c>
      <c r="G138" s="17" t="str">
        <f t="shared" si="6"/>
        <v>Not Eligible</v>
      </c>
      <c r="H138" s="17" t="str">
        <f t="shared" si="7"/>
        <v>Alert</v>
      </c>
      <c r="I138" s="17" t="str">
        <f t="shared" si="8"/>
        <v>Very Poor</v>
      </c>
    </row>
    <row r="139" spans="1:9" x14ac:dyDescent="0.3">
      <c r="A139" t="s">
        <v>482</v>
      </c>
      <c r="B139" t="s">
        <v>33</v>
      </c>
      <c r="C139" t="s">
        <v>345</v>
      </c>
      <c r="D139">
        <v>119350</v>
      </c>
      <c r="E139">
        <v>16</v>
      </c>
      <c r="F139">
        <v>3</v>
      </c>
      <c r="G139" s="17" t="str">
        <f t="shared" si="6"/>
        <v>Eligible</v>
      </c>
      <c r="H139" s="17" t="str">
        <f t="shared" si="7"/>
        <v>Alert</v>
      </c>
      <c r="I139" s="17" t="str">
        <f t="shared" si="8"/>
        <v>Average</v>
      </c>
    </row>
    <row r="140" spans="1:9" x14ac:dyDescent="0.3">
      <c r="A140" s="1" t="s">
        <v>483</v>
      </c>
      <c r="B140" s="1" t="s">
        <v>25</v>
      </c>
      <c r="C140" s="1" t="s">
        <v>347</v>
      </c>
      <c r="D140" s="1">
        <v>73426</v>
      </c>
      <c r="E140" s="1">
        <v>18</v>
      </c>
      <c r="F140" s="1">
        <v>4</v>
      </c>
      <c r="G140" s="17" t="str">
        <f t="shared" si="6"/>
        <v>Eligible</v>
      </c>
      <c r="H140" s="17" t="str">
        <f t="shared" si="7"/>
        <v>Normal</v>
      </c>
      <c r="I140" s="17" t="str">
        <f t="shared" si="8"/>
        <v>Good</v>
      </c>
    </row>
    <row r="141" spans="1:9" x14ac:dyDescent="0.3">
      <c r="A141" t="s">
        <v>484</v>
      </c>
      <c r="B141" t="s">
        <v>17</v>
      </c>
      <c r="C141" t="s">
        <v>345</v>
      </c>
      <c r="D141">
        <v>137226</v>
      </c>
      <c r="E141">
        <v>24</v>
      </c>
      <c r="F141">
        <v>2</v>
      </c>
      <c r="G141" s="17" t="str">
        <f t="shared" si="6"/>
        <v>Not Eligible</v>
      </c>
      <c r="H141" s="17" t="str">
        <f t="shared" si="7"/>
        <v>Alert</v>
      </c>
      <c r="I141" s="17" t="str">
        <f t="shared" si="8"/>
        <v>Poor</v>
      </c>
    </row>
    <row r="142" spans="1:9" x14ac:dyDescent="0.3">
      <c r="A142" s="1" t="s">
        <v>485</v>
      </c>
      <c r="B142" s="1" t="s">
        <v>21</v>
      </c>
      <c r="C142" s="1" t="s">
        <v>349</v>
      </c>
      <c r="D142" s="1">
        <v>90530</v>
      </c>
      <c r="E142" s="1">
        <v>23</v>
      </c>
      <c r="F142" s="1">
        <v>4</v>
      </c>
      <c r="G142" s="17" t="str">
        <f t="shared" si="6"/>
        <v>Eligible</v>
      </c>
      <c r="H142" s="17" t="str">
        <f t="shared" si="7"/>
        <v>Normal</v>
      </c>
      <c r="I142" s="17" t="str">
        <f t="shared" si="8"/>
        <v>Good</v>
      </c>
    </row>
    <row r="143" spans="1:9" x14ac:dyDescent="0.3">
      <c r="A143" t="s">
        <v>486</v>
      </c>
      <c r="B143" t="s">
        <v>17</v>
      </c>
      <c r="C143" t="s">
        <v>342</v>
      </c>
      <c r="D143">
        <v>78393</v>
      </c>
      <c r="E143">
        <v>20</v>
      </c>
      <c r="F143">
        <v>4</v>
      </c>
      <c r="G143" s="17" t="str">
        <f t="shared" si="6"/>
        <v>Eligible</v>
      </c>
      <c r="H143" s="17" t="str">
        <f t="shared" si="7"/>
        <v>Normal</v>
      </c>
      <c r="I143" s="17" t="str">
        <f t="shared" si="8"/>
        <v>Good</v>
      </c>
    </row>
    <row r="144" spans="1:9" x14ac:dyDescent="0.3">
      <c r="A144" s="1" t="s">
        <v>487</v>
      </c>
      <c r="B144" s="1" t="s">
        <v>25</v>
      </c>
      <c r="C144" s="1" t="s">
        <v>347</v>
      </c>
      <c r="D144" s="1">
        <v>120888</v>
      </c>
      <c r="E144" s="1">
        <v>20</v>
      </c>
      <c r="F144" s="1"/>
      <c r="G144" s="17" t="str">
        <f t="shared" si="6"/>
        <v>Not Eligible</v>
      </c>
      <c r="H144" s="17" t="str">
        <f t="shared" si="7"/>
        <v>Alert</v>
      </c>
      <c r="I144" s="17" t="str">
        <f t="shared" si="8"/>
        <v>No Rating</v>
      </c>
    </row>
    <row r="145" spans="1:9" x14ac:dyDescent="0.3">
      <c r="A145" t="s">
        <v>488</v>
      </c>
      <c r="B145" t="s">
        <v>25</v>
      </c>
      <c r="C145" t="s">
        <v>345</v>
      </c>
      <c r="D145">
        <v>133296</v>
      </c>
      <c r="E145">
        <v>16</v>
      </c>
      <c r="F145">
        <v>5</v>
      </c>
      <c r="G145" s="17" t="str">
        <f t="shared" si="6"/>
        <v>Eligible</v>
      </c>
      <c r="H145" s="17" t="str">
        <f t="shared" si="7"/>
        <v>Alert</v>
      </c>
      <c r="I145" s="17" t="str">
        <f t="shared" si="8"/>
        <v>Excellent</v>
      </c>
    </row>
    <row r="146" spans="1:9" x14ac:dyDescent="0.3">
      <c r="A146" s="1" t="s">
        <v>489</v>
      </c>
      <c r="B146" s="1" t="s">
        <v>33</v>
      </c>
      <c r="C146" s="1" t="s">
        <v>342</v>
      </c>
      <c r="D146" s="1">
        <v>20692</v>
      </c>
      <c r="E146" s="1">
        <v>21</v>
      </c>
      <c r="F146" s="1">
        <v>2</v>
      </c>
      <c r="G146" s="17" t="str">
        <f t="shared" si="6"/>
        <v>Not Eligible</v>
      </c>
      <c r="H146" s="17" t="str">
        <f t="shared" si="7"/>
        <v>Alert</v>
      </c>
      <c r="I146" s="17" t="str">
        <f t="shared" si="8"/>
        <v>Poor</v>
      </c>
    </row>
    <row r="147" spans="1:9" x14ac:dyDescent="0.3">
      <c r="A147" t="s">
        <v>490</v>
      </c>
      <c r="B147" t="s">
        <v>17</v>
      </c>
      <c r="C147" t="s">
        <v>342</v>
      </c>
      <c r="D147">
        <v>97141</v>
      </c>
      <c r="E147">
        <v>21</v>
      </c>
      <c r="G147" s="17" t="str">
        <f t="shared" si="6"/>
        <v>Not Eligible</v>
      </c>
      <c r="H147" s="17" t="str">
        <f t="shared" si="7"/>
        <v>Alert</v>
      </c>
      <c r="I147" s="17" t="str">
        <f t="shared" si="8"/>
        <v>No Rating</v>
      </c>
    </row>
    <row r="148" spans="1:9" x14ac:dyDescent="0.3">
      <c r="A148" s="1" t="s">
        <v>491</v>
      </c>
      <c r="B148" s="1" t="s">
        <v>21</v>
      </c>
      <c r="C148" s="1" t="s">
        <v>347</v>
      </c>
      <c r="D148" s="1">
        <v>139947</v>
      </c>
      <c r="E148" s="1">
        <v>19</v>
      </c>
      <c r="F148" s="1">
        <v>2</v>
      </c>
      <c r="G148" s="17" t="str">
        <f t="shared" si="6"/>
        <v>Not Eligible</v>
      </c>
      <c r="H148" s="17" t="str">
        <f t="shared" si="7"/>
        <v>Alert</v>
      </c>
      <c r="I148" s="17" t="str">
        <f t="shared" si="8"/>
        <v>Poor</v>
      </c>
    </row>
    <row r="149" spans="1:9" x14ac:dyDescent="0.3">
      <c r="A149" t="s">
        <v>492</v>
      </c>
      <c r="B149" t="s">
        <v>33</v>
      </c>
      <c r="C149" t="s">
        <v>342</v>
      </c>
      <c r="D149">
        <v>131490</v>
      </c>
      <c r="E149">
        <v>25</v>
      </c>
      <c r="F149">
        <v>2</v>
      </c>
      <c r="G149" s="17" t="str">
        <f t="shared" si="6"/>
        <v>Not Eligible</v>
      </c>
      <c r="H149" s="17" t="str">
        <f t="shared" si="7"/>
        <v>Alert</v>
      </c>
      <c r="I149" s="17" t="str">
        <f t="shared" si="8"/>
        <v>Poor</v>
      </c>
    </row>
    <row r="150" spans="1:9" x14ac:dyDescent="0.3">
      <c r="A150" s="1" t="s">
        <v>493</v>
      </c>
      <c r="B150" s="1" t="s">
        <v>17</v>
      </c>
      <c r="C150" s="1" t="s">
        <v>345</v>
      </c>
      <c r="D150" s="1">
        <v>137774</v>
      </c>
      <c r="E150" s="1">
        <v>20</v>
      </c>
      <c r="F150" s="1"/>
      <c r="G150" s="17" t="str">
        <f t="shared" si="6"/>
        <v>Not Eligible</v>
      </c>
      <c r="H150" s="17" t="str">
        <f t="shared" si="7"/>
        <v>Alert</v>
      </c>
      <c r="I150" s="17" t="str">
        <f t="shared" si="8"/>
        <v>No Rating</v>
      </c>
    </row>
    <row r="151" spans="1:9" x14ac:dyDescent="0.3">
      <c r="A151" t="s">
        <v>494</v>
      </c>
      <c r="B151" t="s">
        <v>25</v>
      </c>
      <c r="C151" t="s">
        <v>342</v>
      </c>
      <c r="D151">
        <v>136578</v>
      </c>
      <c r="E151">
        <v>20</v>
      </c>
      <c r="F151">
        <v>5</v>
      </c>
      <c r="G151" s="17" t="str">
        <f t="shared" si="6"/>
        <v>Eligible</v>
      </c>
      <c r="H151" s="17" t="str">
        <f t="shared" si="7"/>
        <v>Normal</v>
      </c>
      <c r="I151" s="17" t="str">
        <f t="shared" si="8"/>
        <v>Excellent</v>
      </c>
    </row>
    <row r="152" spans="1:9" x14ac:dyDescent="0.3">
      <c r="A152" s="1" t="s">
        <v>495</v>
      </c>
      <c r="B152" s="1" t="s">
        <v>17</v>
      </c>
      <c r="C152" s="1" t="s">
        <v>342</v>
      </c>
      <c r="D152" s="1">
        <v>147675</v>
      </c>
      <c r="E152" s="1">
        <v>26</v>
      </c>
      <c r="F152" s="1">
        <v>2</v>
      </c>
      <c r="G152" s="17" t="str">
        <f t="shared" si="6"/>
        <v>Not Eligible</v>
      </c>
      <c r="H152" s="17" t="str">
        <f t="shared" si="7"/>
        <v>Alert</v>
      </c>
      <c r="I152" s="17" t="str">
        <f t="shared" si="8"/>
        <v>Poor</v>
      </c>
    </row>
    <row r="153" spans="1:9" x14ac:dyDescent="0.3">
      <c r="A153" t="s">
        <v>496</v>
      </c>
      <c r="B153" t="s">
        <v>17</v>
      </c>
      <c r="C153" t="s">
        <v>349</v>
      </c>
      <c r="D153">
        <v>99463</v>
      </c>
      <c r="E153">
        <v>17</v>
      </c>
      <c r="F153">
        <v>2</v>
      </c>
      <c r="G153" s="17" t="str">
        <f t="shared" si="6"/>
        <v>Not Eligible</v>
      </c>
      <c r="H153" s="17" t="str">
        <f t="shared" si="7"/>
        <v>Alert</v>
      </c>
      <c r="I153" s="17" t="str">
        <f t="shared" si="8"/>
        <v>Poor</v>
      </c>
    </row>
    <row r="154" spans="1:9" x14ac:dyDescent="0.3">
      <c r="A154" s="1" t="s">
        <v>497</v>
      </c>
      <c r="B154" s="1" t="s">
        <v>33</v>
      </c>
      <c r="C154" s="1" t="s">
        <v>345</v>
      </c>
      <c r="D154" s="1">
        <v>59740</v>
      </c>
      <c r="E154" s="1">
        <v>17</v>
      </c>
      <c r="F154" s="1">
        <v>2</v>
      </c>
      <c r="G154" s="17" t="str">
        <f t="shared" si="6"/>
        <v>Not Eligible</v>
      </c>
      <c r="H154" s="17" t="str">
        <f t="shared" si="7"/>
        <v>Alert</v>
      </c>
      <c r="I154" s="17" t="str">
        <f t="shared" si="8"/>
        <v>Poor</v>
      </c>
    </row>
    <row r="155" spans="1:9" x14ac:dyDescent="0.3">
      <c r="A155" t="s">
        <v>498</v>
      </c>
      <c r="B155" t="s">
        <v>17</v>
      </c>
      <c r="C155" t="s">
        <v>349</v>
      </c>
      <c r="D155">
        <v>79687</v>
      </c>
      <c r="E155">
        <v>15</v>
      </c>
      <c r="F155">
        <v>5</v>
      </c>
      <c r="G155" s="17" t="str">
        <f t="shared" si="6"/>
        <v>Eligible</v>
      </c>
      <c r="H155" s="17" t="str">
        <f t="shared" si="7"/>
        <v>Alert</v>
      </c>
      <c r="I155" s="17" t="str">
        <f t="shared" si="8"/>
        <v>Excellent</v>
      </c>
    </row>
    <row r="156" spans="1:9" x14ac:dyDescent="0.3">
      <c r="A156" s="1" t="s">
        <v>499</v>
      </c>
      <c r="B156" s="1" t="s">
        <v>25</v>
      </c>
      <c r="C156" s="1" t="s">
        <v>342</v>
      </c>
      <c r="D156" s="1">
        <v>128394</v>
      </c>
      <c r="E156" s="1">
        <v>15</v>
      </c>
      <c r="F156" s="1">
        <v>2</v>
      </c>
      <c r="G156" s="17" t="str">
        <f t="shared" si="6"/>
        <v>Not Eligible</v>
      </c>
      <c r="H156" s="17" t="str">
        <f t="shared" si="7"/>
        <v>Alert</v>
      </c>
      <c r="I156" s="17" t="str">
        <f t="shared" si="8"/>
        <v>Poor</v>
      </c>
    </row>
    <row r="157" spans="1:9" x14ac:dyDescent="0.3">
      <c r="A157" t="s">
        <v>500</v>
      </c>
      <c r="B157" t="s">
        <v>25</v>
      </c>
      <c r="C157" t="s">
        <v>349</v>
      </c>
      <c r="D157">
        <v>50101</v>
      </c>
      <c r="E157">
        <v>16</v>
      </c>
      <c r="F157">
        <v>3</v>
      </c>
      <c r="G157" s="17" t="str">
        <f t="shared" si="6"/>
        <v>Eligible</v>
      </c>
      <c r="H157" s="17" t="str">
        <f t="shared" si="7"/>
        <v>Alert</v>
      </c>
      <c r="I157" s="17" t="str">
        <f t="shared" si="8"/>
        <v>Average</v>
      </c>
    </row>
    <row r="158" spans="1:9" x14ac:dyDescent="0.3">
      <c r="A158" s="1" t="s">
        <v>501</v>
      </c>
      <c r="B158" s="1" t="s">
        <v>21</v>
      </c>
      <c r="C158" s="1" t="s">
        <v>347</v>
      </c>
      <c r="D158" s="1">
        <v>68405</v>
      </c>
      <c r="E158" s="1">
        <v>22</v>
      </c>
      <c r="F158" s="1">
        <v>2</v>
      </c>
      <c r="G158" s="17" t="str">
        <f t="shared" si="6"/>
        <v>Not Eligible</v>
      </c>
      <c r="H158" s="17" t="str">
        <f t="shared" si="7"/>
        <v>Alert</v>
      </c>
      <c r="I158" s="17" t="str">
        <f t="shared" si="8"/>
        <v>Poor</v>
      </c>
    </row>
    <row r="159" spans="1:9" x14ac:dyDescent="0.3">
      <c r="A159" t="s">
        <v>502</v>
      </c>
      <c r="B159" t="s">
        <v>33</v>
      </c>
      <c r="C159" t="s">
        <v>349</v>
      </c>
      <c r="D159">
        <v>79346</v>
      </c>
      <c r="E159">
        <v>24</v>
      </c>
      <c r="F159">
        <v>1</v>
      </c>
      <c r="G159" s="17" t="str">
        <f t="shared" si="6"/>
        <v>Not Eligible</v>
      </c>
      <c r="H159" s="17" t="str">
        <f t="shared" si="7"/>
        <v>Alert</v>
      </c>
      <c r="I159" s="17" t="str">
        <f t="shared" si="8"/>
        <v>Very Poor</v>
      </c>
    </row>
    <row r="160" spans="1:9" x14ac:dyDescent="0.3">
      <c r="A160" s="1" t="s">
        <v>503</v>
      </c>
      <c r="B160" s="1" t="s">
        <v>25</v>
      </c>
      <c r="C160" s="1" t="s">
        <v>342</v>
      </c>
      <c r="D160" s="1">
        <v>36244</v>
      </c>
      <c r="E160" s="1">
        <v>26</v>
      </c>
      <c r="F160" s="1"/>
      <c r="G160" s="17" t="str">
        <f t="shared" si="6"/>
        <v>Not Eligible</v>
      </c>
      <c r="H160" s="17" t="str">
        <f t="shared" si="7"/>
        <v>Alert</v>
      </c>
      <c r="I160" s="17" t="str">
        <f t="shared" si="8"/>
        <v>No Rating</v>
      </c>
    </row>
    <row r="161" spans="1:9" x14ac:dyDescent="0.3">
      <c r="A161" t="s">
        <v>504</v>
      </c>
      <c r="B161" t="s">
        <v>21</v>
      </c>
      <c r="C161" t="s">
        <v>342</v>
      </c>
      <c r="D161">
        <v>30949</v>
      </c>
      <c r="E161">
        <v>16</v>
      </c>
      <c r="F161">
        <v>5</v>
      </c>
      <c r="G161" s="17" t="str">
        <f t="shared" si="6"/>
        <v>Eligible</v>
      </c>
      <c r="H161" s="17" t="str">
        <f t="shared" si="7"/>
        <v>Alert</v>
      </c>
      <c r="I161" s="17" t="str">
        <f t="shared" si="8"/>
        <v>Excellent</v>
      </c>
    </row>
    <row r="162" spans="1:9" x14ac:dyDescent="0.3">
      <c r="A162" s="1" t="s">
        <v>505</v>
      </c>
      <c r="B162" s="1" t="s">
        <v>17</v>
      </c>
      <c r="C162" s="1" t="s">
        <v>342</v>
      </c>
      <c r="D162" s="1">
        <v>77835</v>
      </c>
      <c r="E162" s="1">
        <v>18</v>
      </c>
      <c r="F162" s="1">
        <v>2</v>
      </c>
      <c r="G162" s="17" t="str">
        <f t="shared" si="6"/>
        <v>Not Eligible</v>
      </c>
      <c r="H162" s="17" t="str">
        <f t="shared" si="7"/>
        <v>Alert</v>
      </c>
      <c r="I162" s="17" t="str">
        <f t="shared" si="8"/>
        <v>Poor</v>
      </c>
    </row>
    <row r="163" spans="1:9" x14ac:dyDescent="0.3">
      <c r="A163" t="s">
        <v>506</v>
      </c>
      <c r="B163" t="s">
        <v>17</v>
      </c>
      <c r="C163" t="s">
        <v>347</v>
      </c>
      <c r="D163">
        <v>78053</v>
      </c>
      <c r="E163">
        <v>26</v>
      </c>
      <c r="G163" s="17" t="str">
        <f t="shared" si="6"/>
        <v>Not Eligible</v>
      </c>
      <c r="H163" s="17" t="str">
        <f t="shared" si="7"/>
        <v>Alert</v>
      </c>
      <c r="I163" s="17" t="str">
        <f t="shared" si="8"/>
        <v>No Rating</v>
      </c>
    </row>
    <row r="164" spans="1:9" x14ac:dyDescent="0.3">
      <c r="A164" s="1" t="s">
        <v>507</v>
      </c>
      <c r="B164" s="1" t="s">
        <v>33</v>
      </c>
      <c r="C164" s="1" t="s">
        <v>342</v>
      </c>
      <c r="D164" s="1">
        <v>106389</v>
      </c>
      <c r="E164" s="1">
        <v>22</v>
      </c>
      <c r="F164" s="1">
        <v>1</v>
      </c>
      <c r="G164" s="17" t="str">
        <f t="shared" si="6"/>
        <v>Not Eligible</v>
      </c>
      <c r="H164" s="17" t="str">
        <f t="shared" si="7"/>
        <v>Alert</v>
      </c>
      <c r="I164" s="17" t="str">
        <f t="shared" si="8"/>
        <v>Very Poor</v>
      </c>
    </row>
    <row r="165" spans="1:9" x14ac:dyDescent="0.3">
      <c r="A165" t="s">
        <v>508</v>
      </c>
      <c r="B165" t="s">
        <v>33</v>
      </c>
      <c r="C165" t="s">
        <v>342</v>
      </c>
      <c r="D165">
        <v>97159</v>
      </c>
      <c r="E165">
        <v>23</v>
      </c>
      <c r="F165">
        <v>4</v>
      </c>
      <c r="G165" s="17" t="str">
        <f t="shared" si="6"/>
        <v>Eligible</v>
      </c>
      <c r="H165" s="17" t="str">
        <f t="shared" si="7"/>
        <v>Normal</v>
      </c>
      <c r="I165" s="17" t="str">
        <f t="shared" si="8"/>
        <v>Good</v>
      </c>
    </row>
    <row r="166" spans="1:9" x14ac:dyDescent="0.3">
      <c r="A166" s="1" t="s">
        <v>509</v>
      </c>
      <c r="B166" s="1" t="s">
        <v>21</v>
      </c>
      <c r="C166" s="1" t="s">
        <v>345</v>
      </c>
      <c r="D166" s="1">
        <v>119501</v>
      </c>
      <c r="E166" s="1">
        <v>23</v>
      </c>
      <c r="F166" s="1"/>
      <c r="G166" s="17" t="str">
        <f t="shared" si="6"/>
        <v>Not Eligible</v>
      </c>
      <c r="H166" s="17" t="str">
        <f t="shared" si="7"/>
        <v>Alert</v>
      </c>
      <c r="I166" s="17" t="str">
        <f t="shared" si="8"/>
        <v>No Rating</v>
      </c>
    </row>
    <row r="167" spans="1:9" x14ac:dyDescent="0.3">
      <c r="A167" t="s">
        <v>510</v>
      </c>
      <c r="B167" t="s">
        <v>25</v>
      </c>
      <c r="C167" t="s">
        <v>345</v>
      </c>
      <c r="D167">
        <v>109361</v>
      </c>
      <c r="E167">
        <v>15</v>
      </c>
      <c r="F167">
        <v>1</v>
      </c>
      <c r="G167" s="17" t="str">
        <f t="shared" si="6"/>
        <v>Not Eligible</v>
      </c>
      <c r="H167" s="17" t="str">
        <f t="shared" si="7"/>
        <v>Alert</v>
      </c>
      <c r="I167" s="17" t="str">
        <f t="shared" si="8"/>
        <v>Very Poor</v>
      </c>
    </row>
    <row r="168" spans="1:9" x14ac:dyDescent="0.3">
      <c r="A168" s="1" t="s">
        <v>511</v>
      </c>
      <c r="B168" s="1" t="s">
        <v>17</v>
      </c>
      <c r="C168" s="1" t="s">
        <v>342</v>
      </c>
      <c r="D168" s="1">
        <v>79001</v>
      </c>
      <c r="E168" s="1">
        <v>25</v>
      </c>
      <c r="F168" s="1">
        <v>1</v>
      </c>
      <c r="G168" s="17" t="str">
        <f t="shared" si="6"/>
        <v>Not Eligible</v>
      </c>
      <c r="H168" s="17" t="str">
        <f t="shared" si="7"/>
        <v>Alert</v>
      </c>
      <c r="I168" s="17" t="str">
        <f t="shared" si="8"/>
        <v>Very Poor</v>
      </c>
    </row>
    <row r="169" spans="1:9" x14ac:dyDescent="0.3">
      <c r="A169" t="s">
        <v>512</v>
      </c>
      <c r="B169" t="s">
        <v>25</v>
      </c>
      <c r="C169" t="s">
        <v>342</v>
      </c>
      <c r="D169">
        <v>22495</v>
      </c>
      <c r="E169">
        <v>15</v>
      </c>
      <c r="F169">
        <v>2</v>
      </c>
      <c r="G169" s="17" t="str">
        <f t="shared" si="6"/>
        <v>Not Eligible</v>
      </c>
      <c r="H169" s="17" t="str">
        <f t="shared" si="7"/>
        <v>Alert</v>
      </c>
      <c r="I169" s="17" t="str">
        <f t="shared" si="8"/>
        <v>Poor</v>
      </c>
    </row>
    <row r="170" spans="1:9" x14ac:dyDescent="0.3">
      <c r="A170" s="1" t="s">
        <v>513</v>
      </c>
      <c r="B170" s="1" t="s">
        <v>21</v>
      </c>
      <c r="C170" s="1" t="s">
        <v>349</v>
      </c>
      <c r="D170" s="1">
        <v>38968</v>
      </c>
      <c r="E170" s="1">
        <v>21</v>
      </c>
      <c r="F170" s="1"/>
      <c r="G170" s="17" t="str">
        <f t="shared" si="6"/>
        <v>Not Eligible</v>
      </c>
      <c r="H170" s="17" t="str">
        <f t="shared" si="7"/>
        <v>Alert</v>
      </c>
      <c r="I170" s="17" t="str">
        <f t="shared" si="8"/>
        <v>No Rating</v>
      </c>
    </row>
    <row r="171" spans="1:9" x14ac:dyDescent="0.3">
      <c r="A171" t="s">
        <v>514</v>
      </c>
      <c r="B171" t="s">
        <v>21</v>
      </c>
      <c r="C171" t="s">
        <v>347</v>
      </c>
      <c r="D171">
        <v>137040</v>
      </c>
      <c r="E171">
        <v>23</v>
      </c>
      <c r="F171">
        <v>4</v>
      </c>
      <c r="G171" s="17" t="str">
        <f t="shared" si="6"/>
        <v>Eligible</v>
      </c>
      <c r="H171" s="17" t="str">
        <f t="shared" si="7"/>
        <v>Normal</v>
      </c>
      <c r="I171" s="17" t="str">
        <f t="shared" si="8"/>
        <v>Good</v>
      </c>
    </row>
    <row r="172" spans="1:9" x14ac:dyDescent="0.3">
      <c r="A172" s="1" t="s">
        <v>515</v>
      </c>
      <c r="B172" s="1" t="s">
        <v>25</v>
      </c>
      <c r="C172" s="1" t="s">
        <v>345</v>
      </c>
      <c r="D172" s="1">
        <v>31321</v>
      </c>
      <c r="E172" s="1">
        <v>18</v>
      </c>
      <c r="F172" s="1">
        <v>2</v>
      </c>
      <c r="G172" s="17" t="str">
        <f t="shared" si="6"/>
        <v>Not Eligible</v>
      </c>
      <c r="H172" s="17" t="str">
        <f t="shared" si="7"/>
        <v>Alert</v>
      </c>
      <c r="I172" s="17" t="str">
        <f t="shared" si="8"/>
        <v>Poor</v>
      </c>
    </row>
    <row r="173" spans="1:9" x14ac:dyDescent="0.3">
      <c r="A173" t="s">
        <v>516</v>
      </c>
      <c r="B173" t="s">
        <v>21</v>
      </c>
      <c r="C173" t="s">
        <v>347</v>
      </c>
      <c r="D173">
        <v>83924</v>
      </c>
      <c r="E173">
        <v>23</v>
      </c>
      <c r="F173">
        <v>4</v>
      </c>
      <c r="G173" s="17" t="str">
        <f t="shared" si="6"/>
        <v>Eligible</v>
      </c>
      <c r="H173" s="17" t="str">
        <f t="shared" si="7"/>
        <v>Normal</v>
      </c>
      <c r="I173" s="17" t="str">
        <f t="shared" si="8"/>
        <v>Good</v>
      </c>
    </row>
    <row r="174" spans="1:9" x14ac:dyDescent="0.3">
      <c r="A174" s="1" t="s">
        <v>517</v>
      </c>
      <c r="B174" s="1" t="s">
        <v>33</v>
      </c>
      <c r="C174" s="1" t="s">
        <v>347</v>
      </c>
      <c r="D174" s="1">
        <v>131707</v>
      </c>
      <c r="E174" s="1">
        <v>18</v>
      </c>
      <c r="F174" s="1">
        <v>4</v>
      </c>
      <c r="G174" s="17" t="str">
        <f t="shared" si="6"/>
        <v>Eligible</v>
      </c>
      <c r="H174" s="17" t="str">
        <f t="shared" si="7"/>
        <v>Normal</v>
      </c>
      <c r="I174" s="17" t="str">
        <f t="shared" si="8"/>
        <v>Good</v>
      </c>
    </row>
    <row r="175" spans="1:9" x14ac:dyDescent="0.3">
      <c r="A175" t="s">
        <v>518</v>
      </c>
      <c r="B175" t="s">
        <v>33</v>
      </c>
      <c r="C175" t="s">
        <v>342</v>
      </c>
      <c r="D175">
        <v>39648</v>
      </c>
      <c r="E175">
        <v>23</v>
      </c>
      <c r="F175">
        <v>5</v>
      </c>
      <c r="G175" s="17" t="str">
        <f t="shared" si="6"/>
        <v>Eligible</v>
      </c>
      <c r="H175" s="17" t="str">
        <f t="shared" si="7"/>
        <v>Normal</v>
      </c>
      <c r="I175" s="17" t="str">
        <f t="shared" si="8"/>
        <v>Excellent</v>
      </c>
    </row>
    <row r="176" spans="1:9" x14ac:dyDescent="0.3">
      <c r="A176" s="1" t="s">
        <v>519</v>
      </c>
      <c r="B176" s="1" t="s">
        <v>33</v>
      </c>
      <c r="C176" s="1" t="s">
        <v>347</v>
      </c>
      <c r="D176" s="1">
        <v>35701</v>
      </c>
      <c r="E176" s="1">
        <v>22</v>
      </c>
      <c r="F176" s="1">
        <v>2</v>
      </c>
      <c r="G176" s="17" t="str">
        <f t="shared" si="6"/>
        <v>Not Eligible</v>
      </c>
      <c r="H176" s="17" t="str">
        <f t="shared" si="7"/>
        <v>Alert</v>
      </c>
      <c r="I176" s="17" t="str">
        <f t="shared" si="8"/>
        <v>Poor</v>
      </c>
    </row>
    <row r="177" spans="1:9" x14ac:dyDescent="0.3">
      <c r="A177" t="s">
        <v>520</v>
      </c>
      <c r="B177" t="s">
        <v>33</v>
      </c>
      <c r="C177" t="s">
        <v>349</v>
      </c>
      <c r="D177">
        <v>89819</v>
      </c>
      <c r="E177">
        <v>18</v>
      </c>
      <c r="F177">
        <v>4</v>
      </c>
      <c r="G177" s="17" t="str">
        <f t="shared" si="6"/>
        <v>Eligible</v>
      </c>
      <c r="H177" s="17" t="str">
        <f t="shared" si="7"/>
        <v>Normal</v>
      </c>
      <c r="I177" s="17" t="str">
        <f t="shared" si="8"/>
        <v>Good</v>
      </c>
    </row>
    <row r="178" spans="1:9" x14ac:dyDescent="0.3">
      <c r="A178" s="1" t="s">
        <v>521</v>
      </c>
      <c r="B178" s="1" t="s">
        <v>25</v>
      </c>
      <c r="C178" s="1" t="s">
        <v>349</v>
      </c>
      <c r="D178" s="1">
        <v>96434</v>
      </c>
      <c r="E178" s="1">
        <v>15</v>
      </c>
      <c r="F178" s="1">
        <v>3</v>
      </c>
      <c r="G178" s="17" t="str">
        <f t="shared" si="6"/>
        <v>Eligible</v>
      </c>
      <c r="H178" s="17" t="str">
        <f t="shared" si="7"/>
        <v>Alert</v>
      </c>
      <c r="I178" s="17" t="str">
        <f t="shared" si="8"/>
        <v>Average</v>
      </c>
    </row>
    <row r="179" spans="1:9" x14ac:dyDescent="0.3">
      <c r="A179" t="s">
        <v>522</v>
      </c>
      <c r="B179" t="s">
        <v>33</v>
      </c>
      <c r="C179" t="s">
        <v>345</v>
      </c>
      <c r="D179">
        <v>113855</v>
      </c>
      <c r="E179">
        <v>22</v>
      </c>
      <c r="F179">
        <v>5</v>
      </c>
      <c r="G179" s="17" t="str">
        <f t="shared" si="6"/>
        <v>Eligible</v>
      </c>
      <c r="H179" s="17" t="str">
        <f t="shared" si="7"/>
        <v>Normal</v>
      </c>
      <c r="I179" s="17" t="str">
        <f t="shared" si="8"/>
        <v>Excellent</v>
      </c>
    </row>
    <row r="180" spans="1:9" x14ac:dyDescent="0.3">
      <c r="A180" s="1" t="s">
        <v>523</v>
      </c>
      <c r="B180" s="1" t="s">
        <v>17</v>
      </c>
      <c r="C180" s="1" t="s">
        <v>347</v>
      </c>
      <c r="D180" s="1">
        <v>87614</v>
      </c>
      <c r="E180" s="1">
        <v>16</v>
      </c>
      <c r="F180" s="1">
        <v>2</v>
      </c>
      <c r="G180" s="17" t="str">
        <f t="shared" si="6"/>
        <v>Not Eligible</v>
      </c>
      <c r="H180" s="17" t="str">
        <f t="shared" si="7"/>
        <v>Alert</v>
      </c>
      <c r="I180" s="17" t="str">
        <f t="shared" si="8"/>
        <v>Poor</v>
      </c>
    </row>
    <row r="181" spans="1:9" x14ac:dyDescent="0.3">
      <c r="A181" t="s">
        <v>524</v>
      </c>
      <c r="B181" t="s">
        <v>21</v>
      </c>
      <c r="C181" t="s">
        <v>349</v>
      </c>
      <c r="D181">
        <v>48525</v>
      </c>
      <c r="E181">
        <v>20</v>
      </c>
      <c r="F181">
        <v>5</v>
      </c>
      <c r="G181" s="17" t="str">
        <f t="shared" si="6"/>
        <v>Eligible</v>
      </c>
      <c r="H181" s="17" t="str">
        <f t="shared" si="7"/>
        <v>Normal</v>
      </c>
      <c r="I181" s="17" t="str">
        <f t="shared" si="8"/>
        <v>Excellent</v>
      </c>
    </row>
    <row r="182" spans="1:9" x14ac:dyDescent="0.3">
      <c r="A182" s="1" t="s">
        <v>525</v>
      </c>
      <c r="B182" s="1" t="s">
        <v>17</v>
      </c>
      <c r="C182" s="1" t="s">
        <v>342</v>
      </c>
      <c r="D182" s="1">
        <v>64360</v>
      </c>
      <c r="E182" s="1">
        <v>20</v>
      </c>
      <c r="F182" s="1">
        <v>5</v>
      </c>
      <c r="G182" s="17" t="str">
        <f t="shared" si="6"/>
        <v>Eligible</v>
      </c>
      <c r="H182" s="17" t="str">
        <f t="shared" si="7"/>
        <v>Normal</v>
      </c>
      <c r="I182" s="17" t="str">
        <f t="shared" si="8"/>
        <v>Excellent</v>
      </c>
    </row>
    <row r="183" spans="1:9" x14ac:dyDescent="0.3">
      <c r="A183" t="s">
        <v>526</v>
      </c>
      <c r="B183" t="s">
        <v>33</v>
      </c>
      <c r="C183" t="s">
        <v>347</v>
      </c>
      <c r="D183">
        <v>39851</v>
      </c>
      <c r="E183">
        <v>21</v>
      </c>
      <c r="F183">
        <v>3</v>
      </c>
      <c r="G183" s="17" t="str">
        <f t="shared" si="6"/>
        <v>Eligible</v>
      </c>
      <c r="H183" s="17" t="str">
        <f t="shared" si="7"/>
        <v>Normal</v>
      </c>
      <c r="I183" s="17" t="str">
        <f t="shared" si="8"/>
        <v>Average</v>
      </c>
    </row>
    <row r="184" spans="1:9" x14ac:dyDescent="0.3">
      <c r="A184" s="1" t="s">
        <v>527</v>
      </c>
      <c r="B184" s="1" t="s">
        <v>17</v>
      </c>
      <c r="C184" s="1" t="s">
        <v>347</v>
      </c>
      <c r="D184" s="1">
        <v>121721</v>
      </c>
      <c r="E184" s="1">
        <v>24</v>
      </c>
      <c r="F184" s="1">
        <v>3</v>
      </c>
      <c r="G184" s="17" t="str">
        <f t="shared" si="6"/>
        <v>Eligible</v>
      </c>
      <c r="H184" s="17" t="str">
        <f t="shared" si="7"/>
        <v>Normal</v>
      </c>
      <c r="I184" s="17" t="str">
        <f t="shared" si="8"/>
        <v>Average</v>
      </c>
    </row>
    <row r="185" spans="1:9" x14ac:dyDescent="0.3">
      <c r="A185" t="s">
        <v>528</v>
      </c>
      <c r="B185" t="s">
        <v>21</v>
      </c>
      <c r="C185" t="s">
        <v>349</v>
      </c>
      <c r="D185">
        <v>72594</v>
      </c>
      <c r="E185">
        <v>24</v>
      </c>
      <c r="F185">
        <v>4</v>
      </c>
      <c r="G185" s="17" t="str">
        <f t="shared" si="6"/>
        <v>Eligible</v>
      </c>
      <c r="H185" s="17" t="str">
        <f t="shared" si="7"/>
        <v>Normal</v>
      </c>
      <c r="I185" s="17" t="str">
        <f t="shared" si="8"/>
        <v>Good</v>
      </c>
    </row>
    <row r="186" spans="1:9" x14ac:dyDescent="0.3">
      <c r="A186" s="1" t="s">
        <v>529</v>
      </c>
      <c r="B186" s="1" t="s">
        <v>33</v>
      </c>
      <c r="C186" s="1" t="s">
        <v>349</v>
      </c>
      <c r="D186" s="1">
        <v>118042</v>
      </c>
      <c r="E186" s="1">
        <v>19</v>
      </c>
      <c r="F186" s="1">
        <v>1</v>
      </c>
      <c r="G186" s="17" t="str">
        <f t="shared" si="6"/>
        <v>Not Eligible</v>
      </c>
      <c r="H186" s="17" t="str">
        <f t="shared" si="7"/>
        <v>Alert</v>
      </c>
      <c r="I186" s="17" t="str">
        <f t="shared" si="8"/>
        <v>Very Poor</v>
      </c>
    </row>
    <row r="187" spans="1:9" x14ac:dyDescent="0.3">
      <c r="A187" t="s">
        <v>530</v>
      </c>
      <c r="B187" t="s">
        <v>17</v>
      </c>
      <c r="C187" t="s">
        <v>342</v>
      </c>
      <c r="D187">
        <v>118582</v>
      </c>
      <c r="E187">
        <v>20</v>
      </c>
      <c r="F187">
        <v>3</v>
      </c>
      <c r="G187" s="17" t="str">
        <f t="shared" si="6"/>
        <v>Eligible</v>
      </c>
      <c r="H187" s="17" t="str">
        <f t="shared" si="7"/>
        <v>Normal</v>
      </c>
      <c r="I187" s="17" t="str">
        <f t="shared" si="8"/>
        <v>Average</v>
      </c>
    </row>
    <row r="188" spans="1:9" x14ac:dyDescent="0.3">
      <c r="A188" s="1" t="s">
        <v>531</v>
      </c>
      <c r="B188" s="1" t="s">
        <v>21</v>
      </c>
      <c r="C188" s="1" t="s">
        <v>342</v>
      </c>
      <c r="D188" s="1">
        <v>113617</v>
      </c>
      <c r="E188" s="1">
        <v>19</v>
      </c>
      <c r="F188" s="1">
        <v>4</v>
      </c>
      <c r="G188" s="17" t="str">
        <f t="shared" si="6"/>
        <v>Eligible</v>
      </c>
      <c r="H188" s="17" t="str">
        <f t="shared" si="7"/>
        <v>Normal</v>
      </c>
      <c r="I188" s="17" t="str">
        <f t="shared" si="8"/>
        <v>Good</v>
      </c>
    </row>
    <row r="189" spans="1:9" x14ac:dyDescent="0.3">
      <c r="A189" t="s">
        <v>532</v>
      </c>
      <c r="B189" t="s">
        <v>21</v>
      </c>
      <c r="C189" t="s">
        <v>342</v>
      </c>
      <c r="D189">
        <v>30156</v>
      </c>
      <c r="E189">
        <v>22</v>
      </c>
      <c r="G189" s="17" t="str">
        <f t="shared" si="6"/>
        <v>Not Eligible</v>
      </c>
      <c r="H189" s="17" t="str">
        <f t="shared" si="7"/>
        <v>Alert</v>
      </c>
      <c r="I189" s="17" t="str">
        <f t="shared" si="8"/>
        <v>No Rating</v>
      </c>
    </row>
    <row r="190" spans="1:9" x14ac:dyDescent="0.3">
      <c r="A190" s="1" t="s">
        <v>533</v>
      </c>
      <c r="B190" s="1" t="s">
        <v>17</v>
      </c>
      <c r="C190" s="1" t="s">
        <v>342</v>
      </c>
      <c r="D190" s="1">
        <v>138917</v>
      </c>
      <c r="E190" s="1">
        <v>15</v>
      </c>
      <c r="F190" s="1">
        <v>4</v>
      </c>
      <c r="G190" s="17" t="str">
        <f t="shared" si="6"/>
        <v>Eligible</v>
      </c>
      <c r="H190" s="17" t="str">
        <f t="shared" si="7"/>
        <v>Alert</v>
      </c>
      <c r="I190" s="17" t="str">
        <f t="shared" si="8"/>
        <v>Good</v>
      </c>
    </row>
    <row r="191" spans="1:9" x14ac:dyDescent="0.3">
      <c r="A191" t="s">
        <v>534</v>
      </c>
      <c r="B191" t="s">
        <v>21</v>
      </c>
      <c r="C191" t="s">
        <v>345</v>
      </c>
      <c r="D191">
        <v>66372</v>
      </c>
      <c r="E191">
        <v>20</v>
      </c>
      <c r="F191">
        <v>1</v>
      </c>
      <c r="G191" s="17" t="str">
        <f t="shared" si="6"/>
        <v>Not Eligible</v>
      </c>
      <c r="H191" s="17" t="str">
        <f t="shared" si="7"/>
        <v>Alert</v>
      </c>
      <c r="I191" s="17" t="str">
        <f t="shared" si="8"/>
        <v>Very Poor</v>
      </c>
    </row>
    <row r="192" spans="1:9" x14ac:dyDescent="0.3">
      <c r="A192" s="1" t="s">
        <v>535</v>
      </c>
      <c r="B192" s="1" t="s">
        <v>25</v>
      </c>
      <c r="C192" s="1" t="s">
        <v>349</v>
      </c>
      <c r="D192" s="1">
        <v>114435</v>
      </c>
      <c r="E192" s="1">
        <v>15</v>
      </c>
      <c r="F192" s="1">
        <v>4</v>
      </c>
      <c r="G192" s="17" t="str">
        <f t="shared" si="6"/>
        <v>Eligible</v>
      </c>
      <c r="H192" s="17" t="str">
        <f t="shared" si="7"/>
        <v>Alert</v>
      </c>
      <c r="I192" s="17" t="str">
        <f t="shared" si="8"/>
        <v>Good</v>
      </c>
    </row>
    <row r="193" spans="1:9" x14ac:dyDescent="0.3">
      <c r="A193" t="s">
        <v>536</v>
      </c>
      <c r="B193" t="s">
        <v>21</v>
      </c>
      <c r="C193" t="s">
        <v>349</v>
      </c>
      <c r="D193">
        <v>63790</v>
      </c>
      <c r="E193">
        <v>23</v>
      </c>
      <c r="F193">
        <v>3</v>
      </c>
      <c r="G193" s="17" t="str">
        <f t="shared" si="6"/>
        <v>Eligible</v>
      </c>
      <c r="H193" s="17" t="str">
        <f t="shared" si="7"/>
        <v>Normal</v>
      </c>
      <c r="I193" s="17" t="str">
        <f t="shared" si="8"/>
        <v>Average</v>
      </c>
    </row>
    <row r="194" spans="1:9" x14ac:dyDescent="0.3">
      <c r="A194" s="1" t="s">
        <v>537</v>
      </c>
      <c r="B194" s="1" t="s">
        <v>17</v>
      </c>
      <c r="C194" s="1" t="s">
        <v>342</v>
      </c>
      <c r="D194" s="1">
        <v>110787</v>
      </c>
      <c r="E194" s="1">
        <v>23</v>
      </c>
      <c r="F194" s="1">
        <v>5</v>
      </c>
      <c r="G194" s="17" t="str">
        <f t="shared" si="6"/>
        <v>Eligible</v>
      </c>
      <c r="H194" s="17" t="str">
        <f t="shared" si="7"/>
        <v>Normal</v>
      </c>
      <c r="I194" s="17" t="str">
        <f t="shared" si="8"/>
        <v>Excellent</v>
      </c>
    </row>
    <row r="195" spans="1:9" x14ac:dyDescent="0.3">
      <c r="A195" t="s">
        <v>538</v>
      </c>
      <c r="B195" t="s">
        <v>33</v>
      </c>
      <c r="C195" t="s">
        <v>345</v>
      </c>
      <c r="D195">
        <v>111291</v>
      </c>
      <c r="E195">
        <v>19</v>
      </c>
      <c r="F195">
        <v>5</v>
      </c>
      <c r="G195" s="17" t="str">
        <f t="shared" ref="G195:G251" si="9">IF(F195&gt;=3,"Eligible","Not Eligible")</f>
        <v>Eligible</v>
      </c>
      <c r="H195" s="17" t="str">
        <f t="shared" ref="H195:H251" si="10">IF(OR(F195&lt;=2,E195&lt;18),"Alert","Normal")</f>
        <v>Normal</v>
      </c>
      <c r="I195" s="17" t="str">
        <f t="shared" ref="I195:I251" si="11">IF(F195=5,"Excellent",IF(F195=4,"Good",IF(F195=3,"Average",IF(F195=2,"Poor",IF(F195=1,"Very Poor","No Rating")))))</f>
        <v>Excellent</v>
      </c>
    </row>
    <row r="196" spans="1:9" x14ac:dyDescent="0.3">
      <c r="A196" s="1" t="s">
        <v>539</v>
      </c>
      <c r="B196" s="1" t="s">
        <v>21</v>
      </c>
      <c r="C196" s="1" t="s">
        <v>349</v>
      </c>
      <c r="D196" s="1">
        <v>84811</v>
      </c>
      <c r="E196" s="1">
        <v>18</v>
      </c>
      <c r="F196" s="1"/>
      <c r="G196" s="17" t="str">
        <f t="shared" si="9"/>
        <v>Not Eligible</v>
      </c>
      <c r="H196" s="17" t="str">
        <f t="shared" si="10"/>
        <v>Alert</v>
      </c>
      <c r="I196" s="17" t="str">
        <f t="shared" si="11"/>
        <v>No Rating</v>
      </c>
    </row>
    <row r="197" spans="1:9" x14ac:dyDescent="0.3">
      <c r="A197" t="s">
        <v>540</v>
      </c>
      <c r="B197" t="s">
        <v>33</v>
      </c>
      <c r="C197" t="s">
        <v>345</v>
      </c>
      <c r="D197">
        <v>115099</v>
      </c>
      <c r="E197">
        <v>15</v>
      </c>
      <c r="F197">
        <v>3</v>
      </c>
      <c r="G197" s="17" t="str">
        <f t="shared" si="9"/>
        <v>Eligible</v>
      </c>
      <c r="H197" s="17" t="str">
        <f t="shared" si="10"/>
        <v>Alert</v>
      </c>
      <c r="I197" s="17" t="str">
        <f t="shared" si="11"/>
        <v>Average</v>
      </c>
    </row>
    <row r="198" spans="1:9" x14ac:dyDescent="0.3">
      <c r="A198" s="1" t="s">
        <v>541</v>
      </c>
      <c r="B198" s="1" t="s">
        <v>25</v>
      </c>
      <c r="C198" s="1" t="s">
        <v>347</v>
      </c>
      <c r="D198" s="1">
        <v>143670</v>
      </c>
      <c r="E198" s="1">
        <v>24</v>
      </c>
      <c r="F198" s="1">
        <v>1</v>
      </c>
      <c r="G198" s="17" t="str">
        <f t="shared" si="9"/>
        <v>Not Eligible</v>
      </c>
      <c r="H198" s="17" t="str">
        <f t="shared" si="10"/>
        <v>Alert</v>
      </c>
      <c r="I198" s="17" t="str">
        <f t="shared" si="11"/>
        <v>Very Poor</v>
      </c>
    </row>
    <row r="199" spans="1:9" x14ac:dyDescent="0.3">
      <c r="A199" t="s">
        <v>542</v>
      </c>
      <c r="B199" t="s">
        <v>21</v>
      </c>
      <c r="C199" t="s">
        <v>349</v>
      </c>
      <c r="D199">
        <v>101000</v>
      </c>
      <c r="E199">
        <v>21</v>
      </c>
      <c r="G199" s="17" t="str">
        <f t="shared" si="9"/>
        <v>Not Eligible</v>
      </c>
      <c r="H199" s="17" t="str">
        <f t="shared" si="10"/>
        <v>Alert</v>
      </c>
      <c r="I199" s="17" t="str">
        <f t="shared" si="11"/>
        <v>No Rating</v>
      </c>
    </row>
    <row r="200" spans="1:9" x14ac:dyDescent="0.3">
      <c r="A200" s="1" t="s">
        <v>543</v>
      </c>
      <c r="B200" s="1" t="s">
        <v>25</v>
      </c>
      <c r="C200" s="1" t="s">
        <v>342</v>
      </c>
      <c r="D200" s="1">
        <v>56636</v>
      </c>
      <c r="E200" s="1">
        <v>25</v>
      </c>
      <c r="F200" s="1">
        <v>3</v>
      </c>
      <c r="G200" s="17" t="str">
        <f t="shared" si="9"/>
        <v>Eligible</v>
      </c>
      <c r="H200" s="17" t="str">
        <f t="shared" si="10"/>
        <v>Normal</v>
      </c>
      <c r="I200" s="17" t="str">
        <f t="shared" si="11"/>
        <v>Average</v>
      </c>
    </row>
    <row r="201" spans="1:9" x14ac:dyDescent="0.3">
      <c r="A201" t="s">
        <v>544</v>
      </c>
      <c r="B201" t="s">
        <v>21</v>
      </c>
      <c r="C201" t="s">
        <v>342</v>
      </c>
      <c r="D201">
        <v>146229</v>
      </c>
      <c r="E201">
        <v>26</v>
      </c>
      <c r="F201">
        <v>3</v>
      </c>
      <c r="G201" s="17" t="str">
        <f t="shared" si="9"/>
        <v>Eligible</v>
      </c>
      <c r="H201" s="17" t="str">
        <f t="shared" si="10"/>
        <v>Normal</v>
      </c>
      <c r="I201" s="17" t="str">
        <f t="shared" si="11"/>
        <v>Average</v>
      </c>
    </row>
    <row r="202" spans="1:9" x14ac:dyDescent="0.3">
      <c r="A202" s="1" t="s">
        <v>545</v>
      </c>
      <c r="B202" s="1" t="s">
        <v>17</v>
      </c>
      <c r="C202" s="1" t="s">
        <v>342</v>
      </c>
      <c r="D202" s="1">
        <v>39296</v>
      </c>
      <c r="E202" s="1">
        <v>15</v>
      </c>
      <c r="F202" s="1"/>
      <c r="G202" s="17" t="str">
        <f t="shared" si="9"/>
        <v>Not Eligible</v>
      </c>
      <c r="H202" s="17" t="str">
        <f t="shared" si="10"/>
        <v>Alert</v>
      </c>
      <c r="I202" s="17" t="str">
        <f t="shared" si="11"/>
        <v>No Rating</v>
      </c>
    </row>
    <row r="203" spans="1:9" x14ac:dyDescent="0.3">
      <c r="A203" t="s">
        <v>546</v>
      </c>
      <c r="B203" t="s">
        <v>25</v>
      </c>
      <c r="C203" t="s">
        <v>349</v>
      </c>
      <c r="D203">
        <v>67990</v>
      </c>
      <c r="E203">
        <v>17</v>
      </c>
      <c r="F203">
        <v>2</v>
      </c>
      <c r="G203" s="17" t="str">
        <f t="shared" si="9"/>
        <v>Not Eligible</v>
      </c>
      <c r="H203" s="17" t="str">
        <f t="shared" si="10"/>
        <v>Alert</v>
      </c>
      <c r="I203" s="17" t="str">
        <f t="shared" si="11"/>
        <v>Poor</v>
      </c>
    </row>
    <row r="204" spans="1:9" x14ac:dyDescent="0.3">
      <c r="A204" s="1" t="s">
        <v>547</v>
      </c>
      <c r="B204" s="1" t="s">
        <v>25</v>
      </c>
      <c r="C204" s="1" t="s">
        <v>345</v>
      </c>
      <c r="D204" s="1">
        <v>44440</v>
      </c>
      <c r="E204" s="1">
        <v>15</v>
      </c>
      <c r="F204" s="1">
        <v>2</v>
      </c>
      <c r="G204" s="17" t="str">
        <f t="shared" si="9"/>
        <v>Not Eligible</v>
      </c>
      <c r="H204" s="17" t="str">
        <f t="shared" si="10"/>
        <v>Alert</v>
      </c>
      <c r="I204" s="17" t="str">
        <f t="shared" si="11"/>
        <v>Poor</v>
      </c>
    </row>
    <row r="205" spans="1:9" x14ac:dyDescent="0.3">
      <c r="A205" t="s">
        <v>548</v>
      </c>
      <c r="B205" t="s">
        <v>21</v>
      </c>
      <c r="C205" t="s">
        <v>347</v>
      </c>
      <c r="D205">
        <v>119703</v>
      </c>
      <c r="E205">
        <v>19</v>
      </c>
      <c r="F205">
        <v>2</v>
      </c>
      <c r="G205" s="17" t="str">
        <f t="shared" si="9"/>
        <v>Not Eligible</v>
      </c>
      <c r="H205" s="17" t="str">
        <f t="shared" si="10"/>
        <v>Alert</v>
      </c>
      <c r="I205" s="17" t="str">
        <f t="shared" si="11"/>
        <v>Poor</v>
      </c>
    </row>
    <row r="206" spans="1:9" x14ac:dyDescent="0.3">
      <c r="A206" s="1" t="s">
        <v>549</v>
      </c>
      <c r="B206" s="1" t="s">
        <v>33</v>
      </c>
      <c r="C206" s="1" t="s">
        <v>345</v>
      </c>
      <c r="D206" s="1">
        <v>94517</v>
      </c>
      <c r="E206" s="1">
        <v>16</v>
      </c>
      <c r="F206" s="1">
        <v>5</v>
      </c>
      <c r="G206" s="17" t="str">
        <f t="shared" si="9"/>
        <v>Eligible</v>
      </c>
      <c r="H206" s="17" t="str">
        <f t="shared" si="10"/>
        <v>Alert</v>
      </c>
      <c r="I206" s="17" t="str">
        <f t="shared" si="11"/>
        <v>Excellent</v>
      </c>
    </row>
    <row r="207" spans="1:9" x14ac:dyDescent="0.3">
      <c r="A207" t="s">
        <v>550</v>
      </c>
      <c r="B207" t="s">
        <v>33</v>
      </c>
      <c r="C207" t="s">
        <v>345</v>
      </c>
      <c r="D207">
        <v>47811</v>
      </c>
      <c r="E207">
        <v>24</v>
      </c>
      <c r="F207">
        <v>4</v>
      </c>
      <c r="G207" s="17" t="str">
        <f t="shared" si="9"/>
        <v>Eligible</v>
      </c>
      <c r="H207" s="17" t="str">
        <f t="shared" si="10"/>
        <v>Normal</v>
      </c>
      <c r="I207" s="17" t="str">
        <f t="shared" si="11"/>
        <v>Good</v>
      </c>
    </row>
    <row r="208" spans="1:9" x14ac:dyDescent="0.3">
      <c r="A208" s="1" t="s">
        <v>551</v>
      </c>
      <c r="B208" s="1" t="s">
        <v>17</v>
      </c>
      <c r="C208" s="1" t="s">
        <v>342</v>
      </c>
      <c r="D208" s="1">
        <v>105735</v>
      </c>
      <c r="E208" s="1">
        <v>18</v>
      </c>
      <c r="F208" s="1">
        <v>5</v>
      </c>
      <c r="G208" s="17" t="str">
        <f t="shared" si="9"/>
        <v>Eligible</v>
      </c>
      <c r="H208" s="17" t="str">
        <f t="shared" si="10"/>
        <v>Normal</v>
      </c>
      <c r="I208" s="17" t="str">
        <f t="shared" si="11"/>
        <v>Excellent</v>
      </c>
    </row>
    <row r="209" spans="1:9" x14ac:dyDescent="0.3">
      <c r="A209" t="s">
        <v>552</v>
      </c>
      <c r="B209" t="s">
        <v>25</v>
      </c>
      <c r="C209" t="s">
        <v>342</v>
      </c>
      <c r="D209">
        <v>100911</v>
      </c>
      <c r="E209">
        <v>16</v>
      </c>
      <c r="F209">
        <v>2</v>
      </c>
      <c r="G209" s="17" t="str">
        <f t="shared" si="9"/>
        <v>Not Eligible</v>
      </c>
      <c r="H209" s="17" t="str">
        <f t="shared" si="10"/>
        <v>Alert</v>
      </c>
      <c r="I209" s="17" t="str">
        <f t="shared" si="11"/>
        <v>Poor</v>
      </c>
    </row>
    <row r="210" spans="1:9" x14ac:dyDescent="0.3">
      <c r="A210" s="1" t="s">
        <v>553</v>
      </c>
      <c r="B210" s="1" t="s">
        <v>25</v>
      </c>
      <c r="C210" s="1" t="s">
        <v>345</v>
      </c>
      <c r="D210" s="1">
        <v>126735</v>
      </c>
      <c r="E210" s="1">
        <v>17</v>
      </c>
      <c r="F210" s="1">
        <v>2</v>
      </c>
      <c r="G210" s="17" t="str">
        <f t="shared" si="9"/>
        <v>Not Eligible</v>
      </c>
      <c r="H210" s="17" t="str">
        <f t="shared" si="10"/>
        <v>Alert</v>
      </c>
      <c r="I210" s="17" t="str">
        <f t="shared" si="11"/>
        <v>Poor</v>
      </c>
    </row>
    <row r="211" spans="1:9" x14ac:dyDescent="0.3">
      <c r="A211" t="s">
        <v>554</v>
      </c>
      <c r="B211" t="s">
        <v>25</v>
      </c>
      <c r="C211" t="s">
        <v>342</v>
      </c>
      <c r="D211">
        <v>75543</v>
      </c>
      <c r="E211">
        <v>20</v>
      </c>
      <c r="F211">
        <v>3</v>
      </c>
      <c r="G211" s="17" t="str">
        <f t="shared" si="9"/>
        <v>Eligible</v>
      </c>
      <c r="H211" s="17" t="str">
        <f t="shared" si="10"/>
        <v>Normal</v>
      </c>
      <c r="I211" s="17" t="str">
        <f t="shared" si="11"/>
        <v>Average</v>
      </c>
    </row>
    <row r="212" spans="1:9" x14ac:dyDescent="0.3">
      <c r="A212" s="1" t="s">
        <v>555</v>
      </c>
      <c r="B212" s="1" t="s">
        <v>25</v>
      </c>
      <c r="C212" s="1" t="s">
        <v>347</v>
      </c>
      <c r="D212" s="1">
        <v>119843</v>
      </c>
      <c r="E212" s="1">
        <v>20</v>
      </c>
      <c r="F212" s="1">
        <v>4</v>
      </c>
      <c r="G212" s="17" t="str">
        <f t="shared" si="9"/>
        <v>Eligible</v>
      </c>
      <c r="H212" s="17" t="str">
        <f t="shared" si="10"/>
        <v>Normal</v>
      </c>
      <c r="I212" s="17" t="str">
        <f t="shared" si="11"/>
        <v>Good</v>
      </c>
    </row>
    <row r="213" spans="1:9" x14ac:dyDescent="0.3">
      <c r="A213" t="s">
        <v>556</v>
      </c>
      <c r="B213" t="s">
        <v>21</v>
      </c>
      <c r="C213" t="s">
        <v>349</v>
      </c>
      <c r="D213">
        <v>123062</v>
      </c>
      <c r="E213">
        <v>20</v>
      </c>
      <c r="F213">
        <v>5</v>
      </c>
      <c r="G213" s="17" t="str">
        <f t="shared" si="9"/>
        <v>Eligible</v>
      </c>
      <c r="H213" s="17" t="str">
        <f t="shared" si="10"/>
        <v>Normal</v>
      </c>
      <c r="I213" s="17" t="str">
        <f t="shared" si="11"/>
        <v>Excellent</v>
      </c>
    </row>
    <row r="214" spans="1:9" x14ac:dyDescent="0.3">
      <c r="A214" s="1" t="s">
        <v>557</v>
      </c>
      <c r="B214" s="1" t="s">
        <v>33</v>
      </c>
      <c r="C214" s="1" t="s">
        <v>349</v>
      </c>
      <c r="D214" s="1">
        <v>137185</v>
      </c>
      <c r="E214" s="1">
        <v>22</v>
      </c>
      <c r="F214" s="1">
        <v>5</v>
      </c>
      <c r="G214" s="17" t="str">
        <f t="shared" si="9"/>
        <v>Eligible</v>
      </c>
      <c r="H214" s="17" t="str">
        <f t="shared" si="10"/>
        <v>Normal</v>
      </c>
      <c r="I214" s="17" t="str">
        <f t="shared" si="11"/>
        <v>Excellent</v>
      </c>
    </row>
    <row r="215" spans="1:9" x14ac:dyDescent="0.3">
      <c r="A215" t="s">
        <v>558</v>
      </c>
      <c r="B215" t="s">
        <v>25</v>
      </c>
      <c r="C215" t="s">
        <v>349</v>
      </c>
      <c r="D215">
        <v>123841</v>
      </c>
      <c r="E215">
        <v>25</v>
      </c>
      <c r="G215" s="17" t="str">
        <f t="shared" si="9"/>
        <v>Not Eligible</v>
      </c>
      <c r="H215" s="17" t="str">
        <f t="shared" si="10"/>
        <v>Alert</v>
      </c>
      <c r="I215" s="17" t="str">
        <f t="shared" si="11"/>
        <v>No Rating</v>
      </c>
    </row>
    <row r="216" spans="1:9" x14ac:dyDescent="0.3">
      <c r="A216" s="1" t="s">
        <v>559</v>
      </c>
      <c r="B216" s="1" t="s">
        <v>21</v>
      </c>
      <c r="C216" s="1" t="s">
        <v>345</v>
      </c>
      <c r="D216" s="1">
        <v>135557</v>
      </c>
      <c r="E216" s="1">
        <v>25</v>
      </c>
      <c r="F216" s="1">
        <v>5</v>
      </c>
      <c r="G216" s="17" t="str">
        <f t="shared" si="9"/>
        <v>Eligible</v>
      </c>
      <c r="H216" s="17" t="str">
        <f t="shared" si="10"/>
        <v>Normal</v>
      </c>
      <c r="I216" s="17" t="str">
        <f t="shared" si="11"/>
        <v>Excellent</v>
      </c>
    </row>
    <row r="217" spans="1:9" x14ac:dyDescent="0.3">
      <c r="A217" t="s">
        <v>560</v>
      </c>
      <c r="B217" t="s">
        <v>17</v>
      </c>
      <c r="C217" t="s">
        <v>347</v>
      </c>
      <c r="D217">
        <v>36120</v>
      </c>
      <c r="E217">
        <v>19</v>
      </c>
      <c r="G217" s="17" t="str">
        <f t="shared" si="9"/>
        <v>Not Eligible</v>
      </c>
      <c r="H217" s="17" t="str">
        <f t="shared" si="10"/>
        <v>Alert</v>
      </c>
      <c r="I217" s="17" t="str">
        <f t="shared" si="11"/>
        <v>No Rating</v>
      </c>
    </row>
    <row r="218" spans="1:9" x14ac:dyDescent="0.3">
      <c r="A218" s="1" t="s">
        <v>561</v>
      </c>
      <c r="B218" s="1" t="s">
        <v>25</v>
      </c>
      <c r="C218" s="1" t="s">
        <v>345</v>
      </c>
      <c r="D218" s="1">
        <v>49609</v>
      </c>
      <c r="E218" s="1">
        <v>22</v>
      </c>
      <c r="F218" s="1">
        <v>2</v>
      </c>
      <c r="G218" s="17" t="str">
        <f t="shared" si="9"/>
        <v>Not Eligible</v>
      </c>
      <c r="H218" s="17" t="str">
        <f t="shared" si="10"/>
        <v>Alert</v>
      </c>
      <c r="I218" s="17" t="str">
        <f t="shared" si="11"/>
        <v>Poor</v>
      </c>
    </row>
    <row r="219" spans="1:9" x14ac:dyDescent="0.3">
      <c r="A219" t="s">
        <v>562</v>
      </c>
      <c r="B219" t="s">
        <v>21</v>
      </c>
      <c r="C219" t="s">
        <v>345</v>
      </c>
      <c r="D219">
        <v>93600</v>
      </c>
      <c r="E219">
        <v>17</v>
      </c>
      <c r="G219" s="17" t="str">
        <f t="shared" si="9"/>
        <v>Not Eligible</v>
      </c>
      <c r="H219" s="17" t="str">
        <f t="shared" si="10"/>
        <v>Alert</v>
      </c>
      <c r="I219" s="17" t="str">
        <f t="shared" si="11"/>
        <v>No Rating</v>
      </c>
    </row>
    <row r="220" spans="1:9" x14ac:dyDescent="0.3">
      <c r="A220" s="1" t="s">
        <v>563</v>
      </c>
      <c r="B220" s="1" t="s">
        <v>25</v>
      </c>
      <c r="C220" s="1" t="s">
        <v>342</v>
      </c>
      <c r="D220" s="1">
        <v>93664</v>
      </c>
      <c r="E220" s="1">
        <v>17</v>
      </c>
      <c r="F220" s="1">
        <v>1</v>
      </c>
      <c r="G220" s="17" t="str">
        <f t="shared" si="9"/>
        <v>Not Eligible</v>
      </c>
      <c r="H220" s="17" t="str">
        <f t="shared" si="10"/>
        <v>Alert</v>
      </c>
      <c r="I220" s="17" t="str">
        <f t="shared" si="11"/>
        <v>Very Poor</v>
      </c>
    </row>
    <row r="221" spans="1:9" x14ac:dyDescent="0.3">
      <c r="A221" t="s">
        <v>564</v>
      </c>
      <c r="B221" t="s">
        <v>21</v>
      </c>
      <c r="C221" t="s">
        <v>345</v>
      </c>
      <c r="D221">
        <v>146209</v>
      </c>
      <c r="E221">
        <v>17</v>
      </c>
      <c r="F221">
        <v>4</v>
      </c>
      <c r="G221" s="17" t="str">
        <f t="shared" si="9"/>
        <v>Eligible</v>
      </c>
      <c r="H221" s="17" t="str">
        <f t="shared" si="10"/>
        <v>Alert</v>
      </c>
      <c r="I221" s="17" t="str">
        <f t="shared" si="11"/>
        <v>Good</v>
      </c>
    </row>
    <row r="222" spans="1:9" x14ac:dyDescent="0.3">
      <c r="A222" s="1" t="s">
        <v>565</v>
      </c>
      <c r="B222" s="1" t="s">
        <v>17</v>
      </c>
      <c r="C222" s="1" t="s">
        <v>349</v>
      </c>
      <c r="D222" s="1">
        <v>31140</v>
      </c>
      <c r="E222" s="1">
        <v>26</v>
      </c>
      <c r="F222" s="1">
        <v>2</v>
      </c>
      <c r="G222" s="17" t="str">
        <f t="shared" si="9"/>
        <v>Not Eligible</v>
      </c>
      <c r="H222" s="17" t="str">
        <f t="shared" si="10"/>
        <v>Alert</v>
      </c>
      <c r="I222" s="17" t="str">
        <f t="shared" si="11"/>
        <v>Poor</v>
      </c>
    </row>
    <row r="223" spans="1:9" x14ac:dyDescent="0.3">
      <c r="A223" t="s">
        <v>566</v>
      </c>
      <c r="B223" t="s">
        <v>25</v>
      </c>
      <c r="C223" t="s">
        <v>345</v>
      </c>
      <c r="D223">
        <v>93114</v>
      </c>
      <c r="E223">
        <v>22</v>
      </c>
      <c r="G223" s="17" t="str">
        <f t="shared" si="9"/>
        <v>Not Eligible</v>
      </c>
      <c r="H223" s="17" t="str">
        <f t="shared" si="10"/>
        <v>Alert</v>
      </c>
      <c r="I223" s="17" t="str">
        <f t="shared" si="11"/>
        <v>No Rating</v>
      </c>
    </row>
    <row r="224" spans="1:9" x14ac:dyDescent="0.3">
      <c r="A224" s="1" t="s">
        <v>567</v>
      </c>
      <c r="B224" s="1" t="s">
        <v>25</v>
      </c>
      <c r="C224" s="1" t="s">
        <v>345</v>
      </c>
      <c r="D224" s="1">
        <v>32484</v>
      </c>
      <c r="E224" s="1">
        <v>24</v>
      </c>
      <c r="F224" s="1">
        <v>2</v>
      </c>
      <c r="G224" s="17" t="str">
        <f t="shared" si="9"/>
        <v>Not Eligible</v>
      </c>
      <c r="H224" s="17" t="str">
        <f t="shared" si="10"/>
        <v>Alert</v>
      </c>
      <c r="I224" s="17" t="str">
        <f t="shared" si="11"/>
        <v>Poor</v>
      </c>
    </row>
    <row r="225" spans="1:9" x14ac:dyDescent="0.3">
      <c r="A225" t="s">
        <v>568</v>
      </c>
      <c r="B225" t="s">
        <v>21</v>
      </c>
      <c r="C225" t="s">
        <v>345</v>
      </c>
      <c r="D225">
        <v>142992</v>
      </c>
      <c r="E225">
        <v>21</v>
      </c>
      <c r="F225">
        <v>3</v>
      </c>
      <c r="G225" s="17" t="str">
        <f t="shared" si="9"/>
        <v>Eligible</v>
      </c>
      <c r="H225" s="17" t="str">
        <f t="shared" si="10"/>
        <v>Normal</v>
      </c>
      <c r="I225" s="17" t="str">
        <f t="shared" si="11"/>
        <v>Average</v>
      </c>
    </row>
    <row r="226" spans="1:9" x14ac:dyDescent="0.3">
      <c r="A226" s="1" t="s">
        <v>569</v>
      </c>
      <c r="B226" s="1" t="s">
        <v>25</v>
      </c>
      <c r="C226" s="1" t="s">
        <v>347</v>
      </c>
      <c r="D226" s="1">
        <v>135386</v>
      </c>
      <c r="E226" s="1">
        <v>24</v>
      </c>
      <c r="F226" s="1"/>
      <c r="G226" s="17" t="str">
        <f t="shared" si="9"/>
        <v>Not Eligible</v>
      </c>
      <c r="H226" s="17" t="str">
        <f t="shared" si="10"/>
        <v>Alert</v>
      </c>
      <c r="I226" s="17" t="str">
        <f t="shared" si="11"/>
        <v>No Rating</v>
      </c>
    </row>
    <row r="227" spans="1:9" x14ac:dyDescent="0.3">
      <c r="A227" t="s">
        <v>570</v>
      </c>
      <c r="B227" t="s">
        <v>33</v>
      </c>
      <c r="C227" t="s">
        <v>349</v>
      </c>
      <c r="D227">
        <v>115620</v>
      </c>
      <c r="E227">
        <v>20</v>
      </c>
      <c r="F227">
        <v>4</v>
      </c>
      <c r="G227" s="17" t="str">
        <f t="shared" si="9"/>
        <v>Eligible</v>
      </c>
      <c r="H227" s="17" t="str">
        <f t="shared" si="10"/>
        <v>Normal</v>
      </c>
      <c r="I227" s="17" t="str">
        <f t="shared" si="11"/>
        <v>Good</v>
      </c>
    </row>
    <row r="228" spans="1:9" x14ac:dyDescent="0.3">
      <c r="A228" s="1" t="s">
        <v>571</v>
      </c>
      <c r="B228" s="1" t="s">
        <v>17</v>
      </c>
      <c r="C228" s="1" t="s">
        <v>345</v>
      </c>
      <c r="D228" s="1">
        <v>126463</v>
      </c>
      <c r="E228" s="1">
        <v>18</v>
      </c>
      <c r="F228" s="1">
        <v>1</v>
      </c>
      <c r="G228" s="17" t="str">
        <f t="shared" si="9"/>
        <v>Not Eligible</v>
      </c>
      <c r="H228" s="17" t="str">
        <f t="shared" si="10"/>
        <v>Alert</v>
      </c>
      <c r="I228" s="17" t="str">
        <f t="shared" si="11"/>
        <v>Very Poor</v>
      </c>
    </row>
    <row r="229" spans="1:9" x14ac:dyDescent="0.3">
      <c r="A229" t="s">
        <v>572</v>
      </c>
      <c r="B229" t="s">
        <v>17</v>
      </c>
      <c r="C229" t="s">
        <v>347</v>
      </c>
      <c r="D229">
        <v>142654</v>
      </c>
      <c r="E229">
        <v>21</v>
      </c>
      <c r="F229">
        <v>1</v>
      </c>
      <c r="G229" s="17" t="str">
        <f t="shared" si="9"/>
        <v>Not Eligible</v>
      </c>
      <c r="H229" s="17" t="str">
        <f t="shared" si="10"/>
        <v>Alert</v>
      </c>
      <c r="I229" s="17" t="str">
        <f t="shared" si="11"/>
        <v>Very Poor</v>
      </c>
    </row>
    <row r="230" spans="1:9" x14ac:dyDescent="0.3">
      <c r="A230" s="1" t="s">
        <v>573</v>
      </c>
      <c r="B230" s="1" t="s">
        <v>17</v>
      </c>
      <c r="C230" s="1" t="s">
        <v>349</v>
      </c>
      <c r="D230" s="1">
        <v>102608</v>
      </c>
      <c r="E230" s="1">
        <v>16</v>
      </c>
      <c r="F230" s="1">
        <v>3</v>
      </c>
      <c r="G230" s="17" t="str">
        <f t="shared" si="9"/>
        <v>Eligible</v>
      </c>
      <c r="H230" s="17" t="str">
        <f t="shared" si="10"/>
        <v>Alert</v>
      </c>
      <c r="I230" s="17" t="str">
        <f t="shared" si="11"/>
        <v>Average</v>
      </c>
    </row>
    <row r="231" spans="1:9" x14ac:dyDescent="0.3">
      <c r="A231" t="s">
        <v>574</v>
      </c>
      <c r="B231" t="s">
        <v>33</v>
      </c>
      <c r="C231" t="s">
        <v>349</v>
      </c>
      <c r="D231">
        <v>112588</v>
      </c>
      <c r="E231">
        <v>19</v>
      </c>
      <c r="F231">
        <v>5</v>
      </c>
      <c r="G231" s="17" t="str">
        <f t="shared" si="9"/>
        <v>Eligible</v>
      </c>
      <c r="H231" s="17" t="str">
        <f t="shared" si="10"/>
        <v>Normal</v>
      </c>
      <c r="I231" s="17" t="str">
        <f t="shared" si="11"/>
        <v>Excellent</v>
      </c>
    </row>
    <row r="232" spans="1:9" x14ac:dyDescent="0.3">
      <c r="A232" s="1" t="s">
        <v>575</v>
      </c>
      <c r="B232" s="1" t="s">
        <v>21</v>
      </c>
      <c r="C232" s="1" t="s">
        <v>349</v>
      </c>
      <c r="D232" s="1">
        <v>134278</v>
      </c>
      <c r="E232" s="1">
        <v>17</v>
      </c>
      <c r="F232" s="1">
        <v>2</v>
      </c>
      <c r="G232" s="17" t="str">
        <f t="shared" si="9"/>
        <v>Not Eligible</v>
      </c>
      <c r="H232" s="17" t="str">
        <f t="shared" si="10"/>
        <v>Alert</v>
      </c>
      <c r="I232" s="17" t="str">
        <f t="shared" si="11"/>
        <v>Poor</v>
      </c>
    </row>
    <row r="233" spans="1:9" x14ac:dyDescent="0.3">
      <c r="A233" t="s">
        <v>576</v>
      </c>
      <c r="B233" t="s">
        <v>25</v>
      </c>
      <c r="C233" t="s">
        <v>345</v>
      </c>
      <c r="D233">
        <v>75740</v>
      </c>
      <c r="E233">
        <v>21</v>
      </c>
      <c r="F233">
        <v>5</v>
      </c>
      <c r="G233" s="17" t="str">
        <f t="shared" si="9"/>
        <v>Eligible</v>
      </c>
      <c r="H233" s="17" t="str">
        <f t="shared" si="10"/>
        <v>Normal</v>
      </c>
      <c r="I233" s="17" t="str">
        <f t="shared" si="11"/>
        <v>Excellent</v>
      </c>
    </row>
    <row r="234" spans="1:9" x14ac:dyDescent="0.3">
      <c r="A234" s="1" t="s">
        <v>577</v>
      </c>
      <c r="B234" s="1" t="s">
        <v>21</v>
      </c>
      <c r="C234" s="1" t="s">
        <v>345</v>
      </c>
      <c r="D234" s="1">
        <v>93585</v>
      </c>
      <c r="E234" s="1">
        <v>26</v>
      </c>
      <c r="F234" s="1">
        <v>5</v>
      </c>
      <c r="G234" s="17" t="str">
        <f t="shared" si="9"/>
        <v>Eligible</v>
      </c>
      <c r="H234" s="17" t="str">
        <f t="shared" si="10"/>
        <v>Normal</v>
      </c>
      <c r="I234" s="17" t="str">
        <f t="shared" si="11"/>
        <v>Excellent</v>
      </c>
    </row>
    <row r="235" spans="1:9" x14ac:dyDescent="0.3">
      <c r="A235" t="s">
        <v>578</v>
      </c>
      <c r="B235" t="s">
        <v>17</v>
      </c>
      <c r="C235" t="s">
        <v>345</v>
      </c>
      <c r="D235">
        <v>26377</v>
      </c>
      <c r="E235">
        <v>20</v>
      </c>
      <c r="F235">
        <v>3</v>
      </c>
      <c r="G235" s="17" t="str">
        <f t="shared" si="9"/>
        <v>Eligible</v>
      </c>
      <c r="H235" s="17" t="str">
        <f t="shared" si="10"/>
        <v>Normal</v>
      </c>
      <c r="I235" s="17" t="str">
        <f t="shared" si="11"/>
        <v>Average</v>
      </c>
    </row>
    <row r="236" spans="1:9" x14ac:dyDescent="0.3">
      <c r="A236" s="1" t="s">
        <v>579</v>
      </c>
      <c r="B236" s="1" t="s">
        <v>17</v>
      </c>
      <c r="C236" s="1" t="s">
        <v>347</v>
      </c>
      <c r="D236" s="1">
        <v>31089</v>
      </c>
      <c r="E236" s="1">
        <v>16</v>
      </c>
      <c r="F236" s="1"/>
      <c r="G236" s="17" t="str">
        <f t="shared" si="9"/>
        <v>Not Eligible</v>
      </c>
      <c r="H236" s="17" t="str">
        <f t="shared" si="10"/>
        <v>Alert</v>
      </c>
      <c r="I236" s="17" t="str">
        <f t="shared" si="11"/>
        <v>No Rating</v>
      </c>
    </row>
    <row r="237" spans="1:9" x14ac:dyDescent="0.3">
      <c r="A237" t="s">
        <v>580</v>
      </c>
      <c r="B237" t="s">
        <v>33</v>
      </c>
      <c r="C237" t="s">
        <v>345</v>
      </c>
      <c r="D237">
        <v>57577</v>
      </c>
      <c r="E237">
        <v>17</v>
      </c>
      <c r="F237">
        <v>3</v>
      </c>
      <c r="G237" s="17" t="str">
        <f t="shared" si="9"/>
        <v>Eligible</v>
      </c>
      <c r="H237" s="17" t="str">
        <f t="shared" si="10"/>
        <v>Alert</v>
      </c>
      <c r="I237" s="17" t="str">
        <f t="shared" si="11"/>
        <v>Average</v>
      </c>
    </row>
    <row r="238" spans="1:9" x14ac:dyDescent="0.3">
      <c r="A238" s="1" t="s">
        <v>581</v>
      </c>
      <c r="B238" s="1" t="s">
        <v>21</v>
      </c>
      <c r="C238" s="1" t="s">
        <v>349</v>
      </c>
      <c r="D238" s="1">
        <v>138934</v>
      </c>
      <c r="E238" s="1">
        <v>23</v>
      </c>
      <c r="F238" s="1">
        <v>5</v>
      </c>
      <c r="G238" s="17" t="str">
        <f t="shared" si="9"/>
        <v>Eligible</v>
      </c>
      <c r="H238" s="17" t="str">
        <f t="shared" si="10"/>
        <v>Normal</v>
      </c>
      <c r="I238" s="17" t="str">
        <f t="shared" si="11"/>
        <v>Excellent</v>
      </c>
    </row>
    <row r="239" spans="1:9" x14ac:dyDescent="0.3">
      <c r="A239" t="s">
        <v>582</v>
      </c>
      <c r="B239" t="s">
        <v>33</v>
      </c>
      <c r="C239" t="s">
        <v>342</v>
      </c>
      <c r="D239">
        <v>119298</v>
      </c>
      <c r="E239">
        <v>19</v>
      </c>
      <c r="F239">
        <v>5</v>
      </c>
      <c r="G239" s="17" t="str">
        <f t="shared" si="9"/>
        <v>Eligible</v>
      </c>
      <c r="H239" s="17" t="str">
        <f t="shared" si="10"/>
        <v>Normal</v>
      </c>
      <c r="I239" s="17" t="str">
        <f t="shared" si="11"/>
        <v>Excellent</v>
      </c>
    </row>
    <row r="240" spans="1:9" x14ac:dyDescent="0.3">
      <c r="A240" s="1" t="s">
        <v>583</v>
      </c>
      <c r="B240" s="1" t="s">
        <v>17</v>
      </c>
      <c r="C240" s="1" t="s">
        <v>345</v>
      </c>
      <c r="D240" s="1">
        <v>42178</v>
      </c>
      <c r="E240" s="1">
        <v>20</v>
      </c>
      <c r="F240" s="1">
        <v>1</v>
      </c>
      <c r="G240" s="17" t="str">
        <f t="shared" si="9"/>
        <v>Not Eligible</v>
      </c>
      <c r="H240" s="17" t="str">
        <f t="shared" si="10"/>
        <v>Alert</v>
      </c>
      <c r="I240" s="17" t="str">
        <f t="shared" si="11"/>
        <v>Very Poor</v>
      </c>
    </row>
    <row r="241" spans="1:9" x14ac:dyDescent="0.3">
      <c r="A241" t="s">
        <v>584</v>
      </c>
      <c r="B241" t="s">
        <v>25</v>
      </c>
      <c r="C241" t="s">
        <v>347</v>
      </c>
      <c r="D241">
        <v>40705</v>
      </c>
      <c r="E241">
        <v>23</v>
      </c>
      <c r="F241">
        <v>5</v>
      </c>
      <c r="G241" s="17" t="str">
        <f t="shared" si="9"/>
        <v>Eligible</v>
      </c>
      <c r="H241" s="17" t="str">
        <f t="shared" si="10"/>
        <v>Normal</v>
      </c>
      <c r="I241" s="17" t="str">
        <f t="shared" si="11"/>
        <v>Excellent</v>
      </c>
    </row>
    <row r="242" spans="1:9" x14ac:dyDescent="0.3">
      <c r="A242" s="1" t="s">
        <v>585</v>
      </c>
      <c r="B242" s="1" t="s">
        <v>33</v>
      </c>
      <c r="C242" s="1" t="s">
        <v>347</v>
      </c>
      <c r="D242" s="1">
        <v>146731</v>
      </c>
      <c r="E242" s="1">
        <v>21</v>
      </c>
      <c r="F242" s="1"/>
      <c r="G242" s="17" t="str">
        <f t="shared" si="9"/>
        <v>Not Eligible</v>
      </c>
      <c r="H242" s="17" t="str">
        <f t="shared" si="10"/>
        <v>Alert</v>
      </c>
      <c r="I242" s="17" t="str">
        <f t="shared" si="11"/>
        <v>No Rating</v>
      </c>
    </row>
    <row r="243" spans="1:9" x14ac:dyDescent="0.3">
      <c r="A243" t="s">
        <v>586</v>
      </c>
      <c r="B243" t="s">
        <v>17</v>
      </c>
      <c r="C243" t="s">
        <v>349</v>
      </c>
      <c r="D243">
        <v>57000</v>
      </c>
      <c r="E243">
        <v>18</v>
      </c>
      <c r="F243">
        <v>5</v>
      </c>
      <c r="G243" s="17" t="str">
        <f t="shared" si="9"/>
        <v>Eligible</v>
      </c>
      <c r="H243" s="17" t="str">
        <f t="shared" si="10"/>
        <v>Normal</v>
      </c>
      <c r="I243" s="17" t="str">
        <f t="shared" si="11"/>
        <v>Excellent</v>
      </c>
    </row>
    <row r="244" spans="1:9" x14ac:dyDescent="0.3">
      <c r="A244" s="1" t="s">
        <v>587</v>
      </c>
      <c r="B244" s="1" t="s">
        <v>21</v>
      </c>
      <c r="C244" s="1" t="s">
        <v>342</v>
      </c>
      <c r="D244" s="1">
        <v>44400</v>
      </c>
      <c r="E244" s="1">
        <v>25</v>
      </c>
      <c r="F244" s="1"/>
      <c r="G244" s="17" t="str">
        <f t="shared" si="9"/>
        <v>Not Eligible</v>
      </c>
      <c r="H244" s="17" t="str">
        <f t="shared" si="10"/>
        <v>Alert</v>
      </c>
      <c r="I244" s="17" t="str">
        <f t="shared" si="11"/>
        <v>No Rating</v>
      </c>
    </row>
    <row r="245" spans="1:9" x14ac:dyDescent="0.3">
      <c r="A245" t="s">
        <v>588</v>
      </c>
      <c r="B245" t="s">
        <v>17</v>
      </c>
      <c r="C245" t="s">
        <v>347</v>
      </c>
      <c r="D245">
        <v>123158</v>
      </c>
      <c r="E245">
        <v>23</v>
      </c>
      <c r="F245">
        <v>4</v>
      </c>
      <c r="G245" s="17" t="str">
        <f t="shared" si="9"/>
        <v>Eligible</v>
      </c>
      <c r="H245" s="17" t="str">
        <f t="shared" si="10"/>
        <v>Normal</v>
      </c>
      <c r="I245" s="17" t="str">
        <f t="shared" si="11"/>
        <v>Good</v>
      </c>
    </row>
    <row r="246" spans="1:9" x14ac:dyDescent="0.3">
      <c r="A246" s="1" t="s">
        <v>589</v>
      </c>
      <c r="B246" s="1" t="s">
        <v>33</v>
      </c>
      <c r="C246" s="1" t="s">
        <v>345</v>
      </c>
      <c r="D246" s="1">
        <v>104732</v>
      </c>
      <c r="E246" s="1">
        <v>25</v>
      </c>
      <c r="F246" s="1">
        <v>1</v>
      </c>
      <c r="G246" s="17" t="str">
        <f t="shared" si="9"/>
        <v>Not Eligible</v>
      </c>
      <c r="H246" s="17" t="str">
        <f t="shared" si="10"/>
        <v>Alert</v>
      </c>
      <c r="I246" s="17" t="str">
        <f t="shared" si="11"/>
        <v>Very Poor</v>
      </c>
    </row>
    <row r="247" spans="1:9" x14ac:dyDescent="0.3">
      <c r="A247" t="s">
        <v>590</v>
      </c>
      <c r="B247" t="s">
        <v>33</v>
      </c>
      <c r="C247" t="s">
        <v>342</v>
      </c>
      <c r="D247">
        <v>42682</v>
      </c>
      <c r="E247">
        <v>15</v>
      </c>
      <c r="F247">
        <v>3</v>
      </c>
      <c r="G247" s="17" t="str">
        <f t="shared" si="9"/>
        <v>Eligible</v>
      </c>
      <c r="H247" s="17" t="str">
        <f t="shared" si="10"/>
        <v>Alert</v>
      </c>
      <c r="I247" s="17" t="str">
        <f t="shared" si="11"/>
        <v>Average</v>
      </c>
    </row>
    <row r="248" spans="1:9" x14ac:dyDescent="0.3">
      <c r="A248" s="1" t="s">
        <v>591</v>
      </c>
      <c r="B248" s="1" t="s">
        <v>17</v>
      </c>
      <c r="C248" s="1" t="s">
        <v>345</v>
      </c>
      <c r="D248" s="1">
        <v>61628</v>
      </c>
      <c r="E248" s="1">
        <v>18</v>
      </c>
      <c r="F248" s="1">
        <v>4</v>
      </c>
      <c r="G248" s="17" t="str">
        <f t="shared" si="9"/>
        <v>Eligible</v>
      </c>
      <c r="H248" s="17" t="str">
        <f t="shared" si="10"/>
        <v>Normal</v>
      </c>
      <c r="I248" s="17" t="str">
        <f t="shared" si="11"/>
        <v>Good</v>
      </c>
    </row>
    <row r="249" spans="1:9" x14ac:dyDescent="0.3">
      <c r="A249" t="s">
        <v>592</v>
      </c>
      <c r="B249" t="s">
        <v>21</v>
      </c>
      <c r="C249" t="s">
        <v>349</v>
      </c>
      <c r="D249">
        <v>71089</v>
      </c>
      <c r="E249">
        <v>21</v>
      </c>
      <c r="G249" s="17" t="str">
        <f t="shared" si="9"/>
        <v>Not Eligible</v>
      </c>
      <c r="H249" s="17" t="str">
        <f t="shared" si="10"/>
        <v>Alert</v>
      </c>
      <c r="I249" s="17" t="str">
        <f t="shared" si="11"/>
        <v>No Rating</v>
      </c>
    </row>
    <row r="250" spans="1:9" x14ac:dyDescent="0.3">
      <c r="A250" s="1" t="s">
        <v>593</v>
      </c>
      <c r="B250" s="1" t="s">
        <v>17</v>
      </c>
      <c r="C250" s="1" t="s">
        <v>347</v>
      </c>
      <c r="D250" s="1">
        <v>145152</v>
      </c>
      <c r="E250" s="1">
        <v>21</v>
      </c>
      <c r="F250" s="1">
        <v>4</v>
      </c>
      <c r="G250" s="17" t="str">
        <f t="shared" si="9"/>
        <v>Eligible</v>
      </c>
      <c r="H250" s="17" t="str">
        <f t="shared" si="10"/>
        <v>Normal</v>
      </c>
      <c r="I250" s="17" t="str">
        <f t="shared" si="11"/>
        <v>Good</v>
      </c>
    </row>
    <row r="251" spans="1:9" ht="15" thickBot="1" x14ac:dyDescent="0.35">
      <c r="A251" s="4" t="s">
        <v>594</v>
      </c>
      <c r="B251" s="4" t="s">
        <v>33</v>
      </c>
      <c r="C251" s="4" t="s">
        <v>345</v>
      </c>
      <c r="D251" s="4">
        <v>74590</v>
      </c>
      <c r="E251" s="4">
        <v>23</v>
      </c>
      <c r="F251" s="4">
        <v>4</v>
      </c>
      <c r="G251" s="18" t="str">
        <f t="shared" si="9"/>
        <v>Eligible</v>
      </c>
      <c r="H251" s="18" t="str">
        <f t="shared" si="10"/>
        <v>Normal</v>
      </c>
      <c r="I251" s="18" t="str">
        <f t="shared" si="11"/>
        <v>Good</v>
      </c>
    </row>
  </sheetData>
  <autoFilter ref="A1:F25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A5"/>
  <sheetViews>
    <sheetView topLeftCell="A4" workbookViewId="0">
      <selection activeCell="A5" sqref="A5"/>
    </sheetView>
  </sheetViews>
  <sheetFormatPr defaultRowHeight="14.4" x14ac:dyDescent="0.3"/>
  <cols>
    <col min="1" max="1" width="120" customWidth="1"/>
  </cols>
  <sheetData>
    <row r="1" spans="1:1" x14ac:dyDescent="0.3">
      <c r="A1" s="6" t="s">
        <v>595</v>
      </c>
    </row>
    <row r="3" spans="1:1" x14ac:dyDescent="0.3">
      <c r="A3" t="s">
        <v>1</v>
      </c>
    </row>
    <row r="4" spans="1:1" x14ac:dyDescent="0.3">
      <c r="A4" t="s">
        <v>812</v>
      </c>
    </row>
    <row r="5" spans="1:1" x14ac:dyDescent="0.3">
      <c r="A5" t="s">
        <v>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N201"/>
  <sheetViews>
    <sheetView tabSelected="1" topLeftCell="B1" workbookViewId="0">
      <selection activeCell="I1" sqref="I1"/>
    </sheetView>
  </sheetViews>
  <sheetFormatPr defaultRowHeight="14.4" x14ac:dyDescent="0.3"/>
  <cols>
    <col min="1" max="7" width="18" customWidth="1"/>
    <col min="12" max="12" width="17.33203125" customWidth="1"/>
    <col min="13" max="13" width="11" customWidth="1"/>
    <col min="14" max="14" width="11.6640625" bestFit="1" customWidth="1"/>
  </cols>
  <sheetData>
    <row r="1" spans="1:14" ht="15" thickBot="1" x14ac:dyDescent="0.35">
      <c r="A1" s="6" t="s">
        <v>596</v>
      </c>
      <c r="B1" s="6" t="s">
        <v>597</v>
      </c>
      <c r="C1" s="6" t="s">
        <v>598</v>
      </c>
      <c r="D1" s="6" t="s">
        <v>599</v>
      </c>
      <c r="E1" s="6" t="s">
        <v>600</v>
      </c>
      <c r="F1" s="6" t="s">
        <v>601</v>
      </c>
      <c r="G1" s="6" t="s">
        <v>602</v>
      </c>
    </row>
    <row r="2" spans="1:14" x14ac:dyDescent="0.3">
      <c r="A2" s="3" t="s">
        <v>603</v>
      </c>
      <c r="B2" s="3" t="s">
        <v>604</v>
      </c>
      <c r="C2" s="3" t="s">
        <v>605</v>
      </c>
      <c r="D2" s="3">
        <v>2860</v>
      </c>
      <c r="E2" s="3">
        <v>12</v>
      </c>
      <c r="F2" s="3">
        <v>1</v>
      </c>
      <c r="G2" s="3" t="s">
        <v>606</v>
      </c>
    </row>
    <row r="3" spans="1:14" x14ac:dyDescent="0.3">
      <c r="A3" t="s">
        <v>607</v>
      </c>
      <c r="B3" t="s">
        <v>608</v>
      </c>
      <c r="C3" t="s">
        <v>605</v>
      </c>
      <c r="D3">
        <v>457</v>
      </c>
      <c r="E3">
        <v>18</v>
      </c>
      <c r="F3">
        <v>3</v>
      </c>
      <c r="G3" t="s">
        <v>609</v>
      </c>
      <c r="J3" s="19" t="s">
        <v>597</v>
      </c>
      <c r="K3" s="19" t="s">
        <v>841</v>
      </c>
      <c r="L3" s="19" t="s">
        <v>840</v>
      </c>
      <c r="M3" s="19" t="s">
        <v>842</v>
      </c>
      <c r="N3" s="19" t="s">
        <v>843</v>
      </c>
    </row>
    <row r="4" spans="1:14" x14ac:dyDescent="0.3">
      <c r="A4" s="1" t="s">
        <v>610</v>
      </c>
      <c r="B4" s="1" t="s">
        <v>611</v>
      </c>
      <c r="C4" s="1" t="s">
        <v>605</v>
      </c>
      <c r="D4" s="1">
        <v>1210</v>
      </c>
      <c r="E4" s="1">
        <v>0</v>
      </c>
      <c r="F4" s="1"/>
      <c r="G4" s="1" t="s">
        <v>609</v>
      </c>
      <c r="J4" s="10" t="str" cm="1">
        <f t="array" ref="J4:J6">_xlfn.UNIQUE(B2:B201)</f>
        <v>Plant A</v>
      </c>
      <c r="K4" s="10">
        <f>COUNTIF(B2:B201,J4)</f>
        <v>74</v>
      </c>
      <c r="L4" s="12">
        <f>SUMIF(B2:B201,J4,D2:D201)</f>
        <v>165346</v>
      </c>
      <c r="M4" s="12">
        <f>SUMIF(B2:B201,J4,E2:E201)</f>
        <v>742</v>
      </c>
      <c r="N4" s="20">
        <f>COUNTIFS(B2:B201,J4,G2:G201,"On-Time")/COUNTIF(B2:B201,J4)</f>
        <v>0.43243243243243246</v>
      </c>
    </row>
    <row r="5" spans="1:14" x14ac:dyDescent="0.3">
      <c r="A5" t="s">
        <v>612</v>
      </c>
      <c r="B5" t="s">
        <v>611</v>
      </c>
      <c r="C5" t="s">
        <v>613</v>
      </c>
      <c r="D5">
        <v>4680</v>
      </c>
      <c r="E5">
        <v>9</v>
      </c>
      <c r="F5">
        <v>0</v>
      </c>
      <c r="G5" t="s">
        <v>606</v>
      </c>
      <c r="J5" s="10" t="str">
        <v>Plant B</v>
      </c>
      <c r="K5" s="10">
        <f>COUNTIF(B2:B201,J5)</f>
        <v>58</v>
      </c>
      <c r="L5" s="12">
        <f>SUMIF(B2:B201,J5,D2:D201)</f>
        <v>153256</v>
      </c>
      <c r="M5" s="12">
        <f>SUMIF(B2:B201,J5,E2:E201)</f>
        <v>586</v>
      </c>
      <c r="N5" s="20">
        <f>COUNTIFS(B2:B201,J5,G2:G201,"On-Time")/COUNTIF(B2:B201,J5)</f>
        <v>0.55172413793103448</v>
      </c>
    </row>
    <row r="6" spans="1:14" x14ac:dyDescent="0.3">
      <c r="A6" s="1" t="s">
        <v>614</v>
      </c>
      <c r="B6" s="1" t="s">
        <v>608</v>
      </c>
      <c r="C6" s="1" t="s">
        <v>605</v>
      </c>
      <c r="D6" s="1">
        <v>757</v>
      </c>
      <c r="E6" s="1">
        <v>14</v>
      </c>
      <c r="F6" s="1">
        <v>0</v>
      </c>
      <c r="G6" s="1" t="s">
        <v>609</v>
      </c>
      <c r="J6" s="10" t="str">
        <v>Plant C</v>
      </c>
      <c r="K6" s="10">
        <f>COUNTIF(B2:B201,J6)</f>
        <v>68</v>
      </c>
      <c r="L6" s="12">
        <f>SUMIF(B2:B201,J6,D2:D201)</f>
        <v>157128</v>
      </c>
      <c r="M6" s="12">
        <f>SUMIF(B2:B201,J6,E2:E201)</f>
        <v>656</v>
      </c>
      <c r="N6" s="20">
        <f>COUNTIFS(B2:B201,J6,G2:G201,"On-Time")/COUNTIF(B2:B201,J6)</f>
        <v>0.48529411764705882</v>
      </c>
    </row>
    <row r="7" spans="1:14" x14ac:dyDescent="0.3">
      <c r="A7" t="s">
        <v>615</v>
      </c>
      <c r="B7" t="s">
        <v>608</v>
      </c>
      <c r="C7" t="s">
        <v>616</v>
      </c>
      <c r="D7">
        <v>724</v>
      </c>
      <c r="E7">
        <v>12</v>
      </c>
      <c r="F7">
        <v>2</v>
      </c>
      <c r="G7" t="s">
        <v>606</v>
      </c>
      <c r="J7" s="10"/>
      <c r="K7" s="12"/>
      <c r="L7" s="12"/>
      <c r="M7" s="12"/>
    </row>
    <row r="8" spans="1:14" x14ac:dyDescent="0.3">
      <c r="A8" s="1" t="s">
        <v>617</v>
      </c>
      <c r="B8" s="1" t="s">
        <v>611</v>
      </c>
      <c r="C8" s="1" t="s">
        <v>616</v>
      </c>
      <c r="D8" s="1">
        <v>3990</v>
      </c>
      <c r="E8" s="1">
        <v>19</v>
      </c>
      <c r="F8" s="1">
        <v>2</v>
      </c>
      <c r="G8" s="1" t="s">
        <v>609</v>
      </c>
      <c r="J8" s="10"/>
      <c r="K8" s="10"/>
      <c r="L8" s="10"/>
      <c r="M8" s="10"/>
    </row>
    <row r="9" spans="1:14" x14ac:dyDescent="0.3">
      <c r="A9" t="s">
        <v>618</v>
      </c>
      <c r="B9" t="s">
        <v>608</v>
      </c>
      <c r="C9" t="s">
        <v>616</v>
      </c>
      <c r="D9">
        <v>893</v>
      </c>
      <c r="E9">
        <v>14</v>
      </c>
      <c r="F9">
        <v>0</v>
      </c>
      <c r="G9" t="s">
        <v>606</v>
      </c>
      <c r="J9" s="10"/>
      <c r="K9" s="10"/>
      <c r="L9" s="10"/>
      <c r="M9" s="10"/>
    </row>
    <row r="10" spans="1:14" x14ac:dyDescent="0.3">
      <c r="A10" s="1" t="s">
        <v>619</v>
      </c>
      <c r="B10" s="1" t="s">
        <v>608</v>
      </c>
      <c r="C10" s="1" t="s">
        <v>616</v>
      </c>
      <c r="D10" s="1">
        <v>2185</v>
      </c>
      <c r="E10" s="1">
        <v>14</v>
      </c>
      <c r="F10" s="1">
        <v>3</v>
      </c>
      <c r="G10" s="1" t="s">
        <v>609</v>
      </c>
      <c r="J10" s="10"/>
      <c r="K10" s="10"/>
      <c r="L10" s="10"/>
      <c r="M10" s="10"/>
    </row>
    <row r="11" spans="1:14" x14ac:dyDescent="0.3">
      <c r="A11" t="s">
        <v>620</v>
      </c>
      <c r="B11" t="s">
        <v>611</v>
      </c>
      <c r="C11" t="s">
        <v>605</v>
      </c>
      <c r="D11">
        <v>2156</v>
      </c>
      <c r="E11">
        <v>11</v>
      </c>
      <c r="F11">
        <v>3</v>
      </c>
      <c r="G11" t="s">
        <v>606</v>
      </c>
      <c r="J11" s="10"/>
      <c r="K11" s="10"/>
      <c r="L11" s="10"/>
      <c r="M11" s="10"/>
    </row>
    <row r="12" spans="1:14" x14ac:dyDescent="0.3">
      <c r="A12" s="1" t="s">
        <v>621</v>
      </c>
      <c r="B12" s="1" t="s">
        <v>611</v>
      </c>
      <c r="C12" s="1" t="s">
        <v>613</v>
      </c>
      <c r="D12" s="1">
        <v>283</v>
      </c>
      <c r="E12" s="1">
        <v>16</v>
      </c>
      <c r="F12" s="1">
        <v>3</v>
      </c>
      <c r="G12" s="1" t="s">
        <v>606</v>
      </c>
      <c r="J12" s="10"/>
      <c r="K12" s="10"/>
      <c r="L12" s="10"/>
      <c r="M12" s="10"/>
    </row>
    <row r="13" spans="1:14" x14ac:dyDescent="0.3">
      <c r="A13" t="s">
        <v>622</v>
      </c>
      <c r="B13" t="s">
        <v>604</v>
      </c>
      <c r="C13" t="s">
        <v>616</v>
      </c>
      <c r="D13">
        <v>2056</v>
      </c>
      <c r="E13">
        <v>16</v>
      </c>
      <c r="F13">
        <v>0</v>
      </c>
      <c r="G13" t="s">
        <v>606</v>
      </c>
      <c r="J13" s="10"/>
      <c r="K13" s="10"/>
      <c r="L13" s="10"/>
      <c r="M13" s="10"/>
    </row>
    <row r="14" spans="1:14" x14ac:dyDescent="0.3">
      <c r="A14" s="1" t="s">
        <v>623</v>
      </c>
      <c r="B14" s="1" t="s">
        <v>611</v>
      </c>
      <c r="C14" s="1" t="s">
        <v>616</v>
      </c>
      <c r="D14" s="1">
        <v>294</v>
      </c>
      <c r="E14" s="1">
        <v>15</v>
      </c>
      <c r="F14" s="1">
        <v>0</v>
      </c>
      <c r="G14" s="1" t="s">
        <v>609</v>
      </c>
    </row>
    <row r="15" spans="1:14" x14ac:dyDescent="0.3">
      <c r="A15" t="s">
        <v>624</v>
      </c>
      <c r="B15" t="s">
        <v>611</v>
      </c>
      <c r="C15" t="s">
        <v>616</v>
      </c>
      <c r="D15">
        <v>3717</v>
      </c>
      <c r="E15">
        <v>1</v>
      </c>
      <c r="F15">
        <v>2</v>
      </c>
      <c r="G15" t="s">
        <v>606</v>
      </c>
    </row>
    <row r="16" spans="1:14" x14ac:dyDescent="0.3">
      <c r="A16" s="1" t="s">
        <v>625</v>
      </c>
      <c r="B16" s="1" t="s">
        <v>604</v>
      </c>
      <c r="C16" s="1" t="s">
        <v>605</v>
      </c>
      <c r="D16" s="1">
        <v>1343</v>
      </c>
      <c r="E16" s="1">
        <v>17</v>
      </c>
      <c r="F16" s="1">
        <v>1</v>
      </c>
      <c r="G16" s="1" t="s">
        <v>609</v>
      </c>
    </row>
    <row r="17" spans="1:14" x14ac:dyDescent="0.3">
      <c r="A17" t="s">
        <v>626</v>
      </c>
      <c r="B17" t="s">
        <v>608</v>
      </c>
      <c r="C17" t="s">
        <v>613</v>
      </c>
      <c r="D17">
        <v>4769</v>
      </c>
      <c r="E17">
        <v>9</v>
      </c>
      <c r="F17">
        <v>3</v>
      </c>
      <c r="G17" t="s">
        <v>606</v>
      </c>
    </row>
    <row r="18" spans="1:14" x14ac:dyDescent="0.3">
      <c r="A18" s="1" t="s">
        <v>627</v>
      </c>
      <c r="B18" s="1" t="s">
        <v>611</v>
      </c>
      <c r="C18" s="1" t="s">
        <v>616</v>
      </c>
      <c r="D18" s="1">
        <v>2670</v>
      </c>
      <c r="E18" s="1">
        <v>10</v>
      </c>
      <c r="F18" s="1">
        <v>0</v>
      </c>
      <c r="G18" s="1" t="s">
        <v>609</v>
      </c>
    </row>
    <row r="19" spans="1:14" x14ac:dyDescent="0.3">
      <c r="A19" t="s">
        <v>628</v>
      </c>
      <c r="B19" t="s">
        <v>608</v>
      </c>
      <c r="C19" t="s">
        <v>613</v>
      </c>
      <c r="D19">
        <v>2258</v>
      </c>
      <c r="E19">
        <v>5</v>
      </c>
      <c r="F19">
        <v>3</v>
      </c>
      <c r="G19" t="s">
        <v>606</v>
      </c>
    </row>
    <row r="20" spans="1:14" x14ac:dyDescent="0.3">
      <c r="A20" s="1" t="s">
        <v>629</v>
      </c>
      <c r="B20" s="1" t="s">
        <v>604</v>
      </c>
      <c r="C20" s="1" t="s">
        <v>613</v>
      </c>
      <c r="D20" s="1">
        <v>1444</v>
      </c>
      <c r="E20" s="1">
        <v>3</v>
      </c>
      <c r="F20" s="1">
        <v>0</v>
      </c>
      <c r="G20" s="1" t="s">
        <v>609</v>
      </c>
    </row>
    <row r="21" spans="1:14" x14ac:dyDescent="0.3">
      <c r="A21" t="s">
        <v>630</v>
      </c>
      <c r="B21" t="s">
        <v>604</v>
      </c>
      <c r="C21" t="s">
        <v>605</v>
      </c>
      <c r="D21">
        <v>837</v>
      </c>
      <c r="E21">
        <v>16</v>
      </c>
      <c r="F21">
        <v>2</v>
      </c>
      <c r="G21" t="s">
        <v>606</v>
      </c>
    </row>
    <row r="22" spans="1:14" x14ac:dyDescent="0.3">
      <c r="A22" s="1" t="s">
        <v>631</v>
      </c>
      <c r="B22" s="1" t="s">
        <v>608</v>
      </c>
      <c r="C22" s="1" t="s">
        <v>605</v>
      </c>
      <c r="D22" s="1">
        <v>4055</v>
      </c>
      <c r="E22" s="1">
        <v>17</v>
      </c>
      <c r="F22" s="1">
        <v>3</v>
      </c>
      <c r="G22" s="1" t="s">
        <v>606</v>
      </c>
    </row>
    <row r="23" spans="1:14" x14ac:dyDescent="0.3">
      <c r="A23" t="s">
        <v>632</v>
      </c>
      <c r="B23" t="s">
        <v>604</v>
      </c>
      <c r="C23" t="s">
        <v>613</v>
      </c>
      <c r="D23">
        <v>797</v>
      </c>
      <c r="E23">
        <v>16</v>
      </c>
      <c r="F23">
        <v>0</v>
      </c>
      <c r="G23" t="s">
        <v>606</v>
      </c>
    </row>
    <row r="24" spans="1:14" x14ac:dyDescent="0.3">
      <c r="A24" s="1" t="s">
        <v>633</v>
      </c>
      <c r="B24" s="1" t="s">
        <v>611</v>
      </c>
      <c r="C24" s="1" t="s">
        <v>616</v>
      </c>
      <c r="D24" s="1">
        <v>3633</v>
      </c>
      <c r="E24" s="1">
        <v>7</v>
      </c>
      <c r="F24" s="1"/>
      <c r="G24" s="1" t="s">
        <v>609</v>
      </c>
      <c r="J24" s="19" t="s">
        <v>598</v>
      </c>
      <c r="K24" s="19" t="s">
        <v>841</v>
      </c>
      <c r="L24" s="19" t="s">
        <v>840</v>
      </c>
      <c r="M24" s="19" t="s">
        <v>842</v>
      </c>
      <c r="N24" s="19" t="s">
        <v>843</v>
      </c>
    </row>
    <row r="25" spans="1:14" x14ac:dyDescent="0.3">
      <c r="A25" t="s">
        <v>634</v>
      </c>
      <c r="B25" t="s">
        <v>608</v>
      </c>
      <c r="C25" t="s">
        <v>613</v>
      </c>
      <c r="D25">
        <v>107</v>
      </c>
      <c r="E25">
        <v>1</v>
      </c>
      <c r="G25" t="s">
        <v>609</v>
      </c>
      <c r="J25" s="10" t="str" cm="1">
        <f t="array" ref="J25:J27">_xlfn.UNIQUE(C2:C201)</f>
        <v>Item Z</v>
      </c>
      <c r="K25" s="10">
        <f>COUNTIF(C2:C201,J25)</f>
        <v>56</v>
      </c>
      <c r="L25" s="12">
        <f>SUMIF(C2:C201,J25,D2:D201)</f>
        <v>141076</v>
      </c>
      <c r="M25" s="12">
        <f>SUMIF(C2:C201,J25,E2:E201)</f>
        <v>617</v>
      </c>
      <c r="N25" s="20">
        <f>COUNTIFS(C2:C201,J25,G2:G201,"On-Time")/COUNTIF(C2:C201,J25)</f>
        <v>0.48214285714285715</v>
      </c>
    </row>
    <row r="26" spans="1:14" x14ac:dyDescent="0.3">
      <c r="A26" s="1" t="s">
        <v>635</v>
      </c>
      <c r="B26" s="1" t="s">
        <v>608</v>
      </c>
      <c r="C26" s="1" t="s">
        <v>616</v>
      </c>
      <c r="D26" s="1">
        <v>4068</v>
      </c>
      <c r="E26" s="1">
        <v>0</v>
      </c>
      <c r="F26" s="1">
        <v>0</v>
      </c>
      <c r="G26" s="1" t="s">
        <v>609</v>
      </c>
      <c r="J26" s="10" t="str">
        <v>Item X</v>
      </c>
      <c r="K26" s="10">
        <f>COUNTIF(C2:C201,J26)</f>
        <v>64</v>
      </c>
      <c r="L26" s="12">
        <f>SUMIF(C2:C201,J26,D2:D201)</f>
        <v>149862</v>
      </c>
      <c r="M26" s="12">
        <f>SUMIF(C2:C201,J26,E2:E201)</f>
        <v>621</v>
      </c>
      <c r="N26" s="20">
        <f>COUNTIFS(C2:C201,J26,G2:G201,"On-Time")/COUNTIF(C2:C201,J26)</f>
        <v>0.46875</v>
      </c>
    </row>
    <row r="27" spans="1:14" x14ac:dyDescent="0.3">
      <c r="A27" t="s">
        <v>636</v>
      </c>
      <c r="B27" t="s">
        <v>604</v>
      </c>
      <c r="C27" t="s">
        <v>605</v>
      </c>
      <c r="D27">
        <v>1281</v>
      </c>
      <c r="E27">
        <v>9</v>
      </c>
      <c r="F27">
        <v>1</v>
      </c>
      <c r="G27" t="s">
        <v>606</v>
      </c>
      <c r="J27" s="10" t="str">
        <v>Item Y</v>
      </c>
      <c r="K27" s="10">
        <f>COUNTIF(C2:C201,J27)</f>
        <v>80</v>
      </c>
      <c r="L27" s="12">
        <f>SUMIF(C2:C201,J27,D2:D201)</f>
        <v>184792</v>
      </c>
      <c r="M27" s="12">
        <f>SUMIF(C2:C201,J27,E2:E201)</f>
        <v>746</v>
      </c>
      <c r="N27" s="20">
        <f>COUNTIFS(C2:C201,J27,G2:G201,"On-Time")/COUNTIF(C2:C201,J27)</f>
        <v>0.5</v>
      </c>
    </row>
    <row r="28" spans="1:14" x14ac:dyDescent="0.3">
      <c r="A28" s="1" t="s">
        <v>637</v>
      </c>
      <c r="B28" s="1" t="s">
        <v>608</v>
      </c>
      <c r="C28" s="1" t="s">
        <v>605</v>
      </c>
      <c r="D28" s="1">
        <v>1961</v>
      </c>
      <c r="E28" s="1">
        <v>18</v>
      </c>
      <c r="F28" s="1">
        <v>3</v>
      </c>
      <c r="G28" s="1" t="s">
        <v>606</v>
      </c>
      <c r="J28" s="10"/>
      <c r="K28" s="12"/>
      <c r="L28" s="12"/>
      <c r="M28" s="12"/>
      <c r="N28" s="12"/>
    </row>
    <row r="29" spans="1:14" x14ac:dyDescent="0.3">
      <c r="A29" t="s">
        <v>638</v>
      </c>
      <c r="B29" t="s">
        <v>604</v>
      </c>
      <c r="C29" t="s">
        <v>613</v>
      </c>
      <c r="D29">
        <v>3573</v>
      </c>
      <c r="E29">
        <v>1</v>
      </c>
      <c r="G29" t="s">
        <v>606</v>
      </c>
    </row>
    <row r="30" spans="1:14" x14ac:dyDescent="0.3">
      <c r="A30" s="1" t="s">
        <v>639</v>
      </c>
      <c r="B30" s="1" t="s">
        <v>608</v>
      </c>
      <c r="C30" s="1" t="s">
        <v>613</v>
      </c>
      <c r="D30" s="1">
        <v>1357</v>
      </c>
      <c r="E30" s="1">
        <v>2</v>
      </c>
      <c r="F30" s="1">
        <v>3</v>
      </c>
      <c r="G30" s="1" t="s">
        <v>609</v>
      </c>
    </row>
    <row r="31" spans="1:14" x14ac:dyDescent="0.3">
      <c r="A31" t="s">
        <v>640</v>
      </c>
      <c r="B31" t="s">
        <v>611</v>
      </c>
      <c r="C31" t="s">
        <v>616</v>
      </c>
      <c r="D31">
        <v>1496</v>
      </c>
      <c r="E31">
        <v>13</v>
      </c>
      <c r="F31">
        <v>1</v>
      </c>
      <c r="G31" t="s">
        <v>609</v>
      </c>
    </row>
    <row r="32" spans="1:14" x14ac:dyDescent="0.3">
      <c r="A32" s="1" t="s">
        <v>641</v>
      </c>
      <c r="B32" s="1" t="s">
        <v>604</v>
      </c>
      <c r="C32" s="1" t="s">
        <v>616</v>
      </c>
      <c r="D32" s="1">
        <v>2487</v>
      </c>
      <c r="E32" s="1">
        <v>3</v>
      </c>
      <c r="F32" s="1">
        <v>3</v>
      </c>
      <c r="G32" s="1" t="s">
        <v>606</v>
      </c>
    </row>
    <row r="33" spans="1:7" x14ac:dyDescent="0.3">
      <c r="A33" t="s">
        <v>642</v>
      </c>
      <c r="B33" t="s">
        <v>608</v>
      </c>
      <c r="C33" t="s">
        <v>605</v>
      </c>
      <c r="D33">
        <v>1658</v>
      </c>
      <c r="E33">
        <v>20</v>
      </c>
      <c r="G33" t="s">
        <v>606</v>
      </c>
    </row>
    <row r="34" spans="1:7" x14ac:dyDescent="0.3">
      <c r="A34" s="1" t="s">
        <v>643</v>
      </c>
      <c r="B34" s="1" t="s">
        <v>604</v>
      </c>
      <c r="C34" s="1" t="s">
        <v>613</v>
      </c>
      <c r="D34" s="1">
        <v>1559</v>
      </c>
      <c r="E34" s="1">
        <v>19</v>
      </c>
      <c r="F34" s="1"/>
      <c r="G34" s="1" t="s">
        <v>609</v>
      </c>
    </row>
    <row r="35" spans="1:7" x14ac:dyDescent="0.3">
      <c r="A35" t="s">
        <v>644</v>
      </c>
      <c r="B35" t="s">
        <v>604</v>
      </c>
      <c r="C35" t="s">
        <v>605</v>
      </c>
      <c r="D35">
        <v>183</v>
      </c>
      <c r="E35">
        <v>11</v>
      </c>
      <c r="G35" t="s">
        <v>609</v>
      </c>
    </row>
    <row r="36" spans="1:7" x14ac:dyDescent="0.3">
      <c r="A36" s="1" t="s">
        <v>645</v>
      </c>
      <c r="B36" s="1" t="s">
        <v>604</v>
      </c>
      <c r="C36" s="1" t="s">
        <v>613</v>
      </c>
      <c r="D36" s="1">
        <v>2961</v>
      </c>
      <c r="E36" s="1">
        <v>18</v>
      </c>
      <c r="F36" s="1">
        <v>1</v>
      </c>
      <c r="G36" s="1" t="s">
        <v>606</v>
      </c>
    </row>
    <row r="37" spans="1:7" x14ac:dyDescent="0.3">
      <c r="A37" t="s">
        <v>646</v>
      </c>
      <c r="B37" t="s">
        <v>604</v>
      </c>
      <c r="C37" t="s">
        <v>613</v>
      </c>
      <c r="D37">
        <v>1538</v>
      </c>
      <c r="E37">
        <v>19</v>
      </c>
      <c r="F37">
        <v>1</v>
      </c>
      <c r="G37" t="s">
        <v>609</v>
      </c>
    </row>
    <row r="38" spans="1:7" x14ac:dyDescent="0.3">
      <c r="A38" s="1" t="s">
        <v>647</v>
      </c>
      <c r="B38" s="1" t="s">
        <v>611</v>
      </c>
      <c r="C38" s="1" t="s">
        <v>613</v>
      </c>
      <c r="D38" s="1">
        <v>2507</v>
      </c>
      <c r="E38" s="1">
        <v>6</v>
      </c>
      <c r="F38" s="1">
        <v>3</v>
      </c>
      <c r="G38" s="1" t="s">
        <v>609</v>
      </c>
    </row>
    <row r="39" spans="1:7" x14ac:dyDescent="0.3">
      <c r="A39" t="s">
        <v>648</v>
      </c>
      <c r="B39" t="s">
        <v>611</v>
      </c>
      <c r="C39" t="s">
        <v>616</v>
      </c>
      <c r="D39">
        <v>2073</v>
      </c>
      <c r="E39">
        <v>5</v>
      </c>
      <c r="F39">
        <v>1</v>
      </c>
      <c r="G39" t="s">
        <v>609</v>
      </c>
    </row>
    <row r="40" spans="1:7" x14ac:dyDescent="0.3">
      <c r="A40" s="1" t="s">
        <v>649</v>
      </c>
      <c r="B40" s="1" t="s">
        <v>608</v>
      </c>
      <c r="C40" s="1" t="s">
        <v>613</v>
      </c>
      <c r="D40" s="1">
        <v>1451</v>
      </c>
      <c r="E40" s="1">
        <v>16</v>
      </c>
      <c r="F40" s="1">
        <v>2</v>
      </c>
      <c r="G40" s="1" t="s">
        <v>609</v>
      </c>
    </row>
    <row r="41" spans="1:7" x14ac:dyDescent="0.3">
      <c r="A41" t="s">
        <v>650</v>
      </c>
      <c r="B41" t="s">
        <v>611</v>
      </c>
      <c r="C41" t="s">
        <v>616</v>
      </c>
      <c r="D41">
        <v>881</v>
      </c>
      <c r="E41">
        <v>5</v>
      </c>
      <c r="G41" t="s">
        <v>606</v>
      </c>
    </row>
    <row r="42" spans="1:7" x14ac:dyDescent="0.3">
      <c r="A42" s="1" t="s">
        <v>651</v>
      </c>
      <c r="B42" s="1" t="s">
        <v>611</v>
      </c>
      <c r="C42" s="1" t="s">
        <v>605</v>
      </c>
      <c r="D42" s="1">
        <v>1216</v>
      </c>
      <c r="E42" s="1">
        <v>3</v>
      </c>
      <c r="F42" s="1">
        <v>1</v>
      </c>
      <c r="G42" s="1" t="s">
        <v>609</v>
      </c>
    </row>
    <row r="43" spans="1:7" x14ac:dyDescent="0.3">
      <c r="A43" t="s">
        <v>652</v>
      </c>
      <c r="B43" t="s">
        <v>611</v>
      </c>
      <c r="C43" t="s">
        <v>616</v>
      </c>
      <c r="D43">
        <v>3722</v>
      </c>
      <c r="E43">
        <v>12</v>
      </c>
      <c r="F43">
        <v>0</v>
      </c>
      <c r="G43" t="s">
        <v>609</v>
      </c>
    </row>
    <row r="44" spans="1:7" x14ac:dyDescent="0.3">
      <c r="A44" s="1" t="s">
        <v>653</v>
      </c>
      <c r="B44" s="1" t="s">
        <v>604</v>
      </c>
      <c r="C44" s="1" t="s">
        <v>613</v>
      </c>
      <c r="D44" s="1">
        <v>4787</v>
      </c>
      <c r="E44" s="1">
        <v>7</v>
      </c>
      <c r="F44" s="1">
        <v>0</v>
      </c>
      <c r="G44" s="1" t="s">
        <v>609</v>
      </c>
    </row>
    <row r="45" spans="1:7" x14ac:dyDescent="0.3">
      <c r="A45" t="s">
        <v>654</v>
      </c>
      <c r="B45" t="s">
        <v>608</v>
      </c>
      <c r="C45" t="s">
        <v>605</v>
      </c>
      <c r="D45">
        <v>4946</v>
      </c>
      <c r="E45">
        <v>10</v>
      </c>
      <c r="G45" t="s">
        <v>609</v>
      </c>
    </row>
    <row r="46" spans="1:7" x14ac:dyDescent="0.3">
      <c r="A46" s="1" t="s">
        <v>655</v>
      </c>
      <c r="B46" s="1" t="s">
        <v>611</v>
      </c>
      <c r="C46" s="1" t="s">
        <v>613</v>
      </c>
      <c r="D46" s="1">
        <v>1540</v>
      </c>
      <c r="E46" s="1">
        <v>16</v>
      </c>
      <c r="F46" s="1">
        <v>2</v>
      </c>
      <c r="G46" s="1" t="s">
        <v>609</v>
      </c>
    </row>
    <row r="47" spans="1:7" x14ac:dyDescent="0.3">
      <c r="A47" t="s">
        <v>656</v>
      </c>
      <c r="B47" t="s">
        <v>611</v>
      </c>
      <c r="C47" t="s">
        <v>616</v>
      </c>
      <c r="D47">
        <v>3929</v>
      </c>
      <c r="E47">
        <v>15</v>
      </c>
      <c r="G47" t="s">
        <v>606</v>
      </c>
    </row>
    <row r="48" spans="1:7" x14ac:dyDescent="0.3">
      <c r="A48" s="1" t="s">
        <v>657</v>
      </c>
      <c r="B48" s="1" t="s">
        <v>611</v>
      </c>
      <c r="C48" s="1" t="s">
        <v>616</v>
      </c>
      <c r="D48" s="1">
        <v>4339</v>
      </c>
      <c r="E48" s="1">
        <v>6</v>
      </c>
      <c r="F48" s="1"/>
      <c r="G48" s="1" t="s">
        <v>606</v>
      </c>
    </row>
    <row r="49" spans="1:7" x14ac:dyDescent="0.3">
      <c r="A49" t="s">
        <v>658</v>
      </c>
      <c r="B49" t="s">
        <v>611</v>
      </c>
      <c r="C49" t="s">
        <v>616</v>
      </c>
      <c r="D49">
        <v>3082</v>
      </c>
      <c r="E49">
        <v>13</v>
      </c>
      <c r="F49">
        <v>2</v>
      </c>
      <c r="G49" t="s">
        <v>606</v>
      </c>
    </row>
    <row r="50" spans="1:7" x14ac:dyDescent="0.3">
      <c r="A50" s="1" t="s">
        <v>659</v>
      </c>
      <c r="B50" s="1" t="s">
        <v>604</v>
      </c>
      <c r="C50" s="1" t="s">
        <v>616</v>
      </c>
      <c r="D50" s="1">
        <v>372</v>
      </c>
      <c r="E50" s="1">
        <v>18</v>
      </c>
      <c r="F50" s="1">
        <v>0</v>
      </c>
      <c r="G50" s="1" t="s">
        <v>609</v>
      </c>
    </row>
    <row r="51" spans="1:7" x14ac:dyDescent="0.3">
      <c r="A51" t="s">
        <v>660</v>
      </c>
      <c r="B51" t="s">
        <v>611</v>
      </c>
      <c r="C51" t="s">
        <v>605</v>
      </c>
      <c r="D51">
        <v>3838</v>
      </c>
      <c r="E51">
        <v>3</v>
      </c>
      <c r="F51">
        <v>1</v>
      </c>
      <c r="G51" t="s">
        <v>606</v>
      </c>
    </row>
    <row r="52" spans="1:7" x14ac:dyDescent="0.3">
      <c r="A52" s="1" t="s">
        <v>661</v>
      </c>
      <c r="B52" s="1" t="s">
        <v>611</v>
      </c>
      <c r="C52" s="1" t="s">
        <v>613</v>
      </c>
      <c r="D52" s="1">
        <v>1383</v>
      </c>
      <c r="E52" s="1">
        <v>5</v>
      </c>
      <c r="F52" s="1"/>
      <c r="G52" s="1" t="s">
        <v>606</v>
      </c>
    </row>
    <row r="53" spans="1:7" x14ac:dyDescent="0.3">
      <c r="A53" t="s">
        <v>662</v>
      </c>
      <c r="B53" t="s">
        <v>608</v>
      </c>
      <c r="C53" t="s">
        <v>613</v>
      </c>
      <c r="D53">
        <v>4080</v>
      </c>
      <c r="E53">
        <v>3</v>
      </c>
      <c r="F53">
        <v>1</v>
      </c>
      <c r="G53" t="s">
        <v>606</v>
      </c>
    </row>
    <row r="54" spans="1:7" x14ac:dyDescent="0.3">
      <c r="A54" s="1" t="s">
        <v>663</v>
      </c>
      <c r="B54" s="1" t="s">
        <v>611</v>
      </c>
      <c r="C54" s="1" t="s">
        <v>616</v>
      </c>
      <c r="D54" s="1">
        <v>3610</v>
      </c>
      <c r="E54" s="1">
        <v>8</v>
      </c>
      <c r="F54" s="1">
        <v>1</v>
      </c>
      <c r="G54" s="1" t="s">
        <v>609</v>
      </c>
    </row>
    <row r="55" spans="1:7" x14ac:dyDescent="0.3">
      <c r="A55" t="s">
        <v>664</v>
      </c>
      <c r="B55" t="s">
        <v>611</v>
      </c>
      <c r="C55" t="s">
        <v>616</v>
      </c>
      <c r="D55">
        <v>4955</v>
      </c>
      <c r="E55">
        <v>17</v>
      </c>
      <c r="F55">
        <v>2</v>
      </c>
      <c r="G55" t="s">
        <v>606</v>
      </c>
    </row>
    <row r="56" spans="1:7" x14ac:dyDescent="0.3">
      <c r="A56" s="1" t="s">
        <v>665</v>
      </c>
      <c r="B56" s="1" t="s">
        <v>608</v>
      </c>
      <c r="C56" s="1" t="s">
        <v>616</v>
      </c>
      <c r="D56" s="1">
        <v>861</v>
      </c>
      <c r="E56" s="1">
        <v>7</v>
      </c>
      <c r="F56" s="1"/>
      <c r="G56" s="1" t="s">
        <v>606</v>
      </c>
    </row>
    <row r="57" spans="1:7" x14ac:dyDescent="0.3">
      <c r="A57" t="s">
        <v>666</v>
      </c>
      <c r="B57" t="s">
        <v>604</v>
      </c>
      <c r="C57" t="s">
        <v>605</v>
      </c>
      <c r="D57">
        <v>719</v>
      </c>
      <c r="E57">
        <v>0</v>
      </c>
      <c r="F57">
        <v>3</v>
      </c>
      <c r="G57" t="s">
        <v>606</v>
      </c>
    </row>
    <row r="58" spans="1:7" x14ac:dyDescent="0.3">
      <c r="A58" s="1" t="s">
        <v>667</v>
      </c>
      <c r="B58" s="1" t="s">
        <v>611</v>
      </c>
      <c r="C58" s="1" t="s">
        <v>616</v>
      </c>
      <c r="D58" s="1">
        <v>3305</v>
      </c>
      <c r="E58" s="1">
        <v>9</v>
      </c>
      <c r="F58" s="1">
        <v>1</v>
      </c>
      <c r="G58" s="1" t="s">
        <v>606</v>
      </c>
    </row>
    <row r="59" spans="1:7" x14ac:dyDescent="0.3">
      <c r="A59" t="s">
        <v>668</v>
      </c>
      <c r="B59" t="s">
        <v>604</v>
      </c>
      <c r="C59" t="s">
        <v>605</v>
      </c>
      <c r="D59">
        <v>4404</v>
      </c>
      <c r="E59">
        <v>18</v>
      </c>
      <c r="F59">
        <v>0</v>
      </c>
      <c r="G59" t="s">
        <v>606</v>
      </c>
    </row>
    <row r="60" spans="1:7" x14ac:dyDescent="0.3">
      <c r="A60" s="1" t="s">
        <v>669</v>
      </c>
      <c r="B60" s="1" t="s">
        <v>604</v>
      </c>
      <c r="C60" s="1" t="s">
        <v>613</v>
      </c>
      <c r="D60" s="1">
        <v>903</v>
      </c>
      <c r="E60" s="1">
        <v>10</v>
      </c>
      <c r="F60" s="1"/>
      <c r="G60" s="1" t="s">
        <v>609</v>
      </c>
    </row>
    <row r="61" spans="1:7" x14ac:dyDescent="0.3">
      <c r="A61" t="s">
        <v>670</v>
      </c>
      <c r="B61" t="s">
        <v>608</v>
      </c>
      <c r="C61" t="s">
        <v>616</v>
      </c>
      <c r="D61">
        <v>421</v>
      </c>
      <c r="E61">
        <v>15</v>
      </c>
      <c r="F61">
        <v>3</v>
      </c>
      <c r="G61" t="s">
        <v>609</v>
      </c>
    </row>
    <row r="62" spans="1:7" x14ac:dyDescent="0.3">
      <c r="A62" s="1" t="s">
        <v>671</v>
      </c>
      <c r="B62" s="1" t="s">
        <v>608</v>
      </c>
      <c r="C62" s="1" t="s">
        <v>605</v>
      </c>
      <c r="D62" s="1">
        <v>3113</v>
      </c>
      <c r="E62" s="1">
        <v>11</v>
      </c>
      <c r="F62" s="1">
        <v>1</v>
      </c>
      <c r="G62" s="1" t="s">
        <v>609</v>
      </c>
    </row>
    <row r="63" spans="1:7" x14ac:dyDescent="0.3">
      <c r="A63" t="s">
        <v>672</v>
      </c>
      <c r="B63" t="s">
        <v>604</v>
      </c>
      <c r="C63" t="s">
        <v>616</v>
      </c>
      <c r="D63">
        <v>712</v>
      </c>
      <c r="E63">
        <v>20</v>
      </c>
      <c r="F63">
        <v>2</v>
      </c>
      <c r="G63" t="s">
        <v>609</v>
      </c>
    </row>
    <row r="64" spans="1:7" x14ac:dyDescent="0.3">
      <c r="A64" s="1" t="s">
        <v>673</v>
      </c>
      <c r="B64" s="1" t="s">
        <v>611</v>
      </c>
      <c r="C64" s="1" t="s">
        <v>616</v>
      </c>
      <c r="D64" s="1">
        <v>116</v>
      </c>
      <c r="E64" s="1">
        <v>16</v>
      </c>
      <c r="F64" s="1">
        <v>0</v>
      </c>
      <c r="G64" s="1" t="s">
        <v>609</v>
      </c>
    </row>
    <row r="65" spans="1:7" x14ac:dyDescent="0.3">
      <c r="A65" t="s">
        <v>674</v>
      </c>
      <c r="B65" t="s">
        <v>611</v>
      </c>
      <c r="C65" t="s">
        <v>616</v>
      </c>
      <c r="D65">
        <v>1002</v>
      </c>
      <c r="E65">
        <v>9</v>
      </c>
      <c r="G65" t="s">
        <v>606</v>
      </c>
    </row>
    <row r="66" spans="1:7" x14ac:dyDescent="0.3">
      <c r="A66" s="1" t="s">
        <v>675</v>
      </c>
      <c r="B66" s="1" t="s">
        <v>604</v>
      </c>
      <c r="C66" s="1" t="s">
        <v>616</v>
      </c>
      <c r="D66" s="1">
        <v>3694</v>
      </c>
      <c r="E66" s="1">
        <v>0</v>
      </c>
      <c r="F66" s="1">
        <v>0</v>
      </c>
      <c r="G66" s="1" t="s">
        <v>609</v>
      </c>
    </row>
    <row r="67" spans="1:7" x14ac:dyDescent="0.3">
      <c r="A67" t="s">
        <v>676</v>
      </c>
      <c r="B67" t="s">
        <v>608</v>
      </c>
      <c r="C67" t="s">
        <v>613</v>
      </c>
      <c r="D67">
        <v>4711</v>
      </c>
      <c r="E67">
        <v>19</v>
      </c>
      <c r="F67">
        <v>0</v>
      </c>
      <c r="G67" t="s">
        <v>606</v>
      </c>
    </row>
    <row r="68" spans="1:7" x14ac:dyDescent="0.3">
      <c r="A68" s="1" t="s">
        <v>677</v>
      </c>
      <c r="B68" s="1" t="s">
        <v>611</v>
      </c>
      <c r="C68" s="1" t="s">
        <v>605</v>
      </c>
      <c r="D68" s="1">
        <v>4602</v>
      </c>
      <c r="E68" s="1">
        <v>1</v>
      </c>
      <c r="F68" s="1">
        <v>3</v>
      </c>
      <c r="G68" s="1" t="s">
        <v>609</v>
      </c>
    </row>
    <row r="69" spans="1:7" x14ac:dyDescent="0.3">
      <c r="A69" t="s">
        <v>678</v>
      </c>
      <c r="B69" t="s">
        <v>604</v>
      </c>
      <c r="C69" t="s">
        <v>605</v>
      </c>
      <c r="D69">
        <v>788</v>
      </c>
      <c r="E69">
        <v>6</v>
      </c>
      <c r="F69">
        <v>3</v>
      </c>
      <c r="G69" t="s">
        <v>609</v>
      </c>
    </row>
    <row r="70" spans="1:7" x14ac:dyDescent="0.3">
      <c r="A70" s="1" t="s">
        <v>679</v>
      </c>
      <c r="B70" s="1" t="s">
        <v>604</v>
      </c>
      <c r="C70" s="1" t="s">
        <v>613</v>
      </c>
      <c r="D70" s="1">
        <v>2597</v>
      </c>
      <c r="E70" s="1">
        <v>14</v>
      </c>
      <c r="F70" s="1">
        <v>0</v>
      </c>
      <c r="G70" s="1" t="s">
        <v>609</v>
      </c>
    </row>
    <row r="71" spans="1:7" x14ac:dyDescent="0.3">
      <c r="A71" t="s">
        <v>680</v>
      </c>
      <c r="B71" t="s">
        <v>604</v>
      </c>
      <c r="C71" t="s">
        <v>616</v>
      </c>
      <c r="D71">
        <v>516</v>
      </c>
      <c r="E71">
        <v>1</v>
      </c>
      <c r="F71">
        <v>2</v>
      </c>
      <c r="G71" t="s">
        <v>606</v>
      </c>
    </row>
    <row r="72" spans="1:7" x14ac:dyDescent="0.3">
      <c r="A72" s="1" t="s">
        <v>681</v>
      </c>
      <c r="B72" s="1" t="s">
        <v>608</v>
      </c>
      <c r="C72" s="1" t="s">
        <v>616</v>
      </c>
      <c r="D72" s="1">
        <v>4665</v>
      </c>
      <c r="E72" s="1">
        <v>7</v>
      </c>
      <c r="F72" s="1">
        <v>2</v>
      </c>
      <c r="G72" s="1" t="s">
        <v>606</v>
      </c>
    </row>
    <row r="73" spans="1:7" x14ac:dyDescent="0.3">
      <c r="A73" t="s">
        <v>682</v>
      </c>
      <c r="B73" t="s">
        <v>611</v>
      </c>
      <c r="C73" t="s">
        <v>616</v>
      </c>
      <c r="D73">
        <v>3108</v>
      </c>
      <c r="E73">
        <v>11</v>
      </c>
      <c r="F73">
        <v>0</v>
      </c>
      <c r="G73" t="s">
        <v>609</v>
      </c>
    </row>
    <row r="74" spans="1:7" x14ac:dyDescent="0.3">
      <c r="A74" s="1" t="s">
        <v>683</v>
      </c>
      <c r="B74" s="1" t="s">
        <v>604</v>
      </c>
      <c r="C74" s="1" t="s">
        <v>616</v>
      </c>
      <c r="D74" s="1">
        <v>4923</v>
      </c>
      <c r="E74" s="1">
        <v>5</v>
      </c>
      <c r="F74" s="1">
        <v>0</v>
      </c>
      <c r="G74" s="1" t="s">
        <v>606</v>
      </c>
    </row>
    <row r="75" spans="1:7" x14ac:dyDescent="0.3">
      <c r="A75" t="s">
        <v>684</v>
      </c>
      <c r="B75" t="s">
        <v>604</v>
      </c>
      <c r="C75" t="s">
        <v>616</v>
      </c>
      <c r="D75">
        <v>2499</v>
      </c>
      <c r="E75">
        <v>15</v>
      </c>
      <c r="G75" t="s">
        <v>606</v>
      </c>
    </row>
    <row r="76" spans="1:7" x14ac:dyDescent="0.3">
      <c r="A76" s="1" t="s">
        <v>685</v>
      </c>
      <c r="B76" s="1" t="s">
        <v>604</v>
      </c>
      <c r="C76" s="1" t="s">
        <v>605</v>
      </c>
      <c r="D76" s="1">
        <v>4954</v>
      </c>
      <c r="E76" s="1">
        <v>13</v>
      </c>
      <c r="F76" s="1"/>
      <c r="G76" s="1" t="s">
        <v>606</v>
      </c>
    </row>
    <row r="77" spans="1:7" x14ac:dyDescent="0.3">
      <c r="A77" t="s">
        <v>686</v>
      </c>
      <c r="B77" t="s">
        <v>608</v>
      </c>
      <c r="C77" t="s">
        <v>616</v>
      </c>
      <c r="D77">
        <v>3555</v>
      </c>
      <c r="E77">
        <v>15</v>
      </c>
      <c r="F77">
        <v>3</v>
      </c>
      <c r="G77" t="s">
        <v>609</v>
      </c>
    </row>
    <row r="78" spans="1:7" x14ac:dyDescent="0.3">
      <c r="A78" s="1" t="s">
        <v>687</v>
      </c>
      <c r="B78" s="1" t="s">
        <v>604</v>
      </c>
      <c r="C78" s="1" t="s">
        <v>613</v>
      </c>
      <c r="D78" s="1">
        <v>3094</v>
      </c>
      <c r="E78" s="1">
        <v>18</v>
      </c>
      <c r="F78" s="1">
        <v>0</v>
      </c>
      <c r="G78" s="1" t="s">
        <v>606</v>
      </c>
    </row>
    <row r="79" spans="1:7" x14ac:dyDescent="0.3">
      <c r="A79" t="s">
        <v>688</v>
      </c>
      <c r="B79" t="s">
        <v>608</v>
      </c>
      <c r="C79" t="s">
        <v>605</v>
      </c>
      <c r="D79">
        <v>3801</v>
      </c>
      <c r="E79">
        <v>3</v>
      </c>
      <c r="F79">
        <v>3</v>
      </c>
      <c r="G79" t="s">
        <v>609</v>
      </c>
    </row>
    <row r="80" spans="1:7" x14ac:dyDescent="0.3">
      <c r="A80" s="1" t="s">
        <v>689</v>
      </c>
      <c r="B80" s="1" t="s">
        <v>608</v>
      </c>
      <c r="C80" s="1" t="s">
        <v>616</v>
      </c>
      <c r="D80" s="1">
        <v>2523</v>
      </c>
      <c r="E80" s="1">
        <v>4</v>
      </c>
      <c r="F80" s="1">
        <v>0</v>
      </c>
      <c r="G80" s="1" t="s">
        <v>609</v>
      </c>
    </row>
    <row r="81" spans="1:7" x14ac:dyDescent="0.3">
      <c r="A81" t="s">
        <v>690</v>
      </c>
      <c r="B81" t="s">
        <v>604</v>
      </c>
      <c r="C81" t="s">
        <v>613</v>
      </c>
      <c r="D81">
        <v>2444</v>
      </c>
      <c r="E81">
        <v>3</v>
      </c>
      <c r="G81" t="s">
        <v>609</v>
      </c>
    </row>
    <row r="82" spans="1:7" x14ac:dyDescent="0.3">
      <c r="A82" s="1" t="s">
        <v>691</v>
      </c>
      <c r="B82" s="1" t="s">
        <v>611</v>
      </c>
      <c r="C82" s="1" t="s">
        <v>616</v>
      </c>
      <c r="D82" s="1">
        <v>359</v>
      </c>
      <c r="E82" s="1">
        <v>5</v>
      </c>
      <c r="F82" s="1">
        <v>0</v>
      </c>
      <c r="G82" s="1" t="s">
        <v>609</v>
      </c>
    </row>
    <row r="83" spans="1:7" x14ac:dyDescent="0.3">
      <c r="A83" t="s">
        <v>692</v>
      </c>
      <c r="B83" t="s">
        <v>611</v>
      </c>
      <c r="C83" t="s">
        <v>616</v>
      </c>
      <c r="D83">
        <v>2966</v>
      </c>
      <c r="E83">
        <v>18</v>
      </c>
      <c r="F83">
        <v>3</v>
      </c>
      <c r="G83" t="s">
        <v>606</v>
      </c>
    </row>
    <row r="84" spans="1:7" x14ac:dyDescent="0.3">
      <c r="A84" s="1" t="s">
        <v>693</v>
      </c>
      <c r="B84" s="1" t="s">
        <v>604</v>
      </c>
      <c r="C84" s="1" t="s">
        <v>613</v>
      </c>
      <c r="D84" s="1">
        <v>4171</v>
      </c>
      <c r="E84" s="1">
        <v>18</v>
      </c>
      <c r="F84" s="1"/>
      <c r="G84" s="1" t="s">
        <v>606</v>
      </c>
    </row>
    <row r="85" spans="1:7" x14ac:dyDescent="0.3">
      <c r="A85" t="s">
        <v>694</v>
      </c>
      <c r="B85" t="s">
        <v>608</v>
      </c>
      <c r="C85" t="s">
        <v>616</v>
      </c>
      <c r="D85">
        <v>4133</v>
      </c>
      <c r="E85">
        <v>15</v>
      </c>
      <c r="G85" t="s">
        <v>609</v>
      </c>
    </row>
    <row r="86" spans="1:7" x14ac:dyDescent="0.3">
      <c r="A86" s="1" t="s">
        <v>695</v>
      </c>
      <c r="B86" s="1" t="s">
        <v>611</v>
      </c>
      <c r="C86" s="1" t="s">
        <v>605</v>
      </c>
      <c r="D86" s="1">
        <v>111</v>
      </c>
      <c r="E86" s="1">
        <v>12</v>
      </c>
      <c r="F86" s="1">
        <v>1</v>
      </c>
      <c r="G86" s="1" t="s">
        <v>606</v>
      </c>
    </row>
    <row r="87" spans="1:7" x14ac:dyDescent="0.3">
      <c r="A87" t="s">
        <v>696</v>
      </c>
      <c r="B87" t="s">
        <v>604</v>
      </c>
      <c r="C87" t="s">
        <v>616</v>
      </c>
      <c r="D87">
        <v>274</v>
      </c>
      <c r="E87">
        <v>3</v>
      </c>
      <c r="F87">
        <v>0</v>
      </c>
      <c r="G87" t="s">
        <v>609</v>
      </c>
    </row>
    <row r="88" spans="1:7" x14ac:dyDescent="0.3">
      <c r="A88" s="1" t="s">
        <v>697</v>
      </c>
      <c r="B88" s="1" t="s">
        <v>604</v>
      </c>
      <c r="C88" s="1" t="s">
        <v>605</v>
      </c>
      <c r="D88" s="1">
        <v>3545</v>
      </c>
      <c r="E88" s="1">
        <v>4</v>
      </c>
      <c r="F88" s="1">
        <v>2</v>
      </c>
      <c r="G88" s="1" t="s">
        <v>606</v>
      </c>
    </row>
    <row r="89" spans="1:7" x14ac:dyDescent="0.3">
      <c r="A89" t="s">
        <v>698</v>
      </c>
      <c r="B89" t="s">
        <v>611</v>
      </c>
      <c r="C89" t="s">
        <v>613</v>
      </c>
      <c r="D89">
        <v>490</v>
      </c>
      <c r="E89">
        <v>7</v>
      </c>
      <c r="F89">
        <v>1</v>
      </c>
      <c r="G89" t="s">
        <v>609</v>
      </c>
    </row>
    <row r="90" spans="1:7" x14ac:dyDescent="0.3">
      <c r="A90" s="1" t="s">
        <v>699</v>
      </c>
      <c r="B90" s="1" t="s">
        <v>608</v>
      </c>
      <c r="C90" s="1" t="s">
        <v>605</v>
      </c>
      <c r="D90" s="1">
        <v>4085</v>
      </c>
      <c r="E90" s="1">
        <v>18</v>
      </c>
      <c r="F90" s="1"/>
      <c r="G90" s="1" t="s">
        <v>609</v>
      </c>
    </row>
    <row r="91" spans="1:7" x14ac:dyDescent="0.3">
      <c r="A91" t="s">
        <v>700</v>
      </c>
      <c r="B91" t="s">
        <v>604</v>
      </c>
      <c r="C91" t="s">
        <v>616</v>
      </c>
      <c r="D91">
        <v>1156</v>
      </c>
      <c r="E91">
        <v>11</v>
      </c>
      <c r="F91">
        <v>2</v>
      </c>
      <c r="G91" t="s">
        <v>606</v>
      </c>
    </row>
    <row r="92" spans="1:7" x14ac:dyDescent="0.3">
      <c r="A92" s="1" t="s">
        <v>701</v>
      </c>
      <c r="B92" s="1" t="s">
        <v>604</v>
      </c>
      <c r="C92" s="1" t="s">
        <v>613</v>
      </c>
      <c r="D92" s="1">
        <v>4050</v>
      </c>
      <c r="E92" s="1">
        <v>1</v>
      </c>
      <c r="F92" s="1">
        <v>0</v>
      </c>
      <c r="G92" s="1" t="s">
        <v>606</v>
      </c>
    </row>
    <row r="93" spans="1:7" x14ac:dyDescent="0.3">
      <c r="A93" t="s">
        <v>702</v>
      </c>
      <c r="B93" t="s">
        <v>604</v>
      </c>
      <c r="C93" t="s">
        <v>605</v>
      </c>
      <c r="D93">
        <v>528</v>
      </c>
      <c r="E93">
        <v>18</v>
      </c>
      <c r="F93">
        <v>0</v>
      </c>
      <c r="G93" t="s">
        <v>609</v>
      </c>
    </row>
    <row r="94" spans="1:7" x14ac:dyDescent="0.3">
      <c r="A94" s="1" t="s">
        <v>703</v>
      </c>
      <c r="B94" s="1" t="s">
        <v>611</v>
      </c>
      <c r="C94" s="1" t="s">
        <v>616</v>
      </c>
      <c r="D94" s="1">
        <v>362</v>
      </c>
      <c r="E94" s="1">
        <v>11</v>
      </c>
      <c r="F94" s="1">
        <v>0</v>
      </c>
      <c r="G94" s="1" t="s">
        <v>609</v>
      </c>
    </row>
    <row r="95" spans="1:7" x14ac:dyDescent="0.3">
      <c r="A95" t="s">
        <v>704</v>
      </c>
      <c r="B95" t="s">
        <v>611</v>
      </c>
      <c r="C95" t="s">
        <v>605</v>
      </c>
      <c r="D95">
        <v>1977</v>
      </c>
      <c r="E95">
        <v>16</v>
      </c>
      <c r="G95" t="s">
        <v>609</v>
      </c>
    </row>
    <row r="96" spans="1:7" x14ac:dyDescent="0.3">
      <c r="A96" s="1" t="s">
        <v>705</v>
      </c>
      <c r="B96" s="1" t="s">
        <v>604</v>
      </c>
      <c r="C96" s="1" t="s">
        <v>605</v>
      </c>
      <c r="D96" s="1">
        <v>883</v>
      </c>
      <c r="E96" s="1">
        <v>2</v>
      </c>
      <c r="F96" s="1">
        <v>2</v>
      </c>
      <c r="G96" s="1" t="s">
        <v>606</v>
      </c>
    </row>
    <row r="97" spans="1:7" x14ac:dyDescent="0.3">
      <c r="A97" t="s">
        <v>706</v>
      </c>
      <c r="B97" t="s">
        <v>604</v>
      </c>
      <c r="C97" t="s">
        <v>616</v>
      </c>
      <c r="D97">
        <v>2469</v>
      </c>
      <c r="E97">
        <v>12</v>
      </c>
      <c r="G97" t="s">
        <v>609</v>
      </c>
    </row>
    <row r="98" spans="1:7" x14ac:dyDescent="0.3">
      <c r="A98" s="1" t="s">
        <v>707</v>
      </c>
      <c r="B98" s="1" t="s">
        <v>604</v>
      </c>
      <c r="C98" s="1" t="s">
        <v>616</v>
      </c>
      <c r="D98" s="1">
        <v>3719</v>
      </c>
      <c r="E98" s="1">
        <v>20</v>
      </c>
      <c r="F98" s="1">
        <v>3</v>
      </c>
      <c r="G98" s="1" t="s">
        <v>609</v>
      </c>
    </row>
    <row r="99" spans="1:7" x14ac:dyDescent="0.3">
      <c r="A99" t="s">
        <v>708</v>
      </c>
      <c r="B99" t="s">
        <v>608</v>
      </c>
      <c r="C99" t="s">
        <v>616</v>
      </c>
      <c r="D99">
        <v>3322</v>
      </c>
      <c r="E99">
        <v>16</v>
      </c>
      <c r="G99" t="s">
        <v>606</v>
      </c>
    </row>
    <row r="100" spans="1:7" x14ac:dyDescent="0.3">
      <c r="A100" s="1" t="s">
        <v>709</v>
      </c>
      <c r="B100" s="1" t="s">
        <v>611</v>
      </c>
      <c r="C100" s="1" t="s">
        <v>613</v>
      </c>
      <c r="D100" s="1">
        <v>3426</v>
      </c>
      <c r="E100" s="1">
        <v>10</v>
      </c>
      <c r="F100" s="1">
        <v>0</v>
      </c>
      <c r="G100" s="1" t="s">
        <v>606</v>
      </c>
    </row>
    <row r="101" spans="1:7" x14ac:dyDescent="0.3">
      <c r="A101" t="s">
        <v>710</v>
      </c>
      <c r="B101" t="s">
        <v>608</v>
      </c>
      <c r="C101" t="s">
        <v>613</v>
      </c>
      <c r="D101">
        <v>551</v>
      </c>
      <c r="E101">
        <v>14</v>
      </c>
      <c r="G101" t="s">
        <v>609</v>
      </c>
    </row>
    <row r="102" spans="1:7" x14ac:dyDescent="0.3">
      <c r="A102" s="1" t="s">
        <v>711</v>
      </c>
      <c r="B102" s="1" t="s">
        <v>608</v>
      </c>
      <c r="C102" s="1" t="s">
        <v>616</v>
      </c>
      <c r="D102" s="1">
        <v>4111</v>
      </c>
      <c r="E102" s="1">
        <v>18</v>
      </c>
      <c r="F102" s="1">
        <v>0</v>
      </c>
      <c r="G102" s="1" t="s">
        <v>609</v>
      </c>
    </row>
    <row r="103" spans="1:7" x14ac:dyDescent="0.3">
      <c r="A103" t="s">
        <v>712</v>
      </c>
      <c r="B103" t="s">
        <v>611</v>
      </c>
      <c r="C103" t="s">
        <v>605</v>
      </c>
      <c r="D103">
        <v>1354</v>
      </c>
      <c r="E103">
        <v>7</v>
      </c>
      <c r="F103">
        <v>3</v>
      </c>
      <c r="G103" t="s">
        <v>609</v>
      </c>
    </row>
    <row r="104" spans="1:7" x14ac:dyDescent="0.3">
      <c r="A104" s="1" t="s">
        <v>713</v>
      </c>
      <c r="B104" s="1" t="s">
        <v>608</v>
      </c>
      <c r="C104" s="1" t="s">
        <v>616</v>
      </c>
      <c r="D104" s="1">
        <v>586</v>
      </c>
      <c r="E104" s="1">
        <v>12</v>
      </c>
      <c r="F104" s="1">
        <v>1</v>
      </c>
      <c r="G104" s="1" t="s">
        <v>609</v>
      </c>
    </row>
    <row r="105" spans="1:7" x14ac:dyDescent="0.3">
      <c r="A105" t="s">
        <v>714</v>
      </c>
      <c r="B105" t="s">
        <v>611</v>
      </c>
      <c r="C105" t="s">
        <v>613</v>
      </c>
      <c r="D105">
        <v>241</v>
      </c>
      <c r="E105">
        <v>20</v>
      </c>
      <c r="F105">
        <v>1</v>
      </c>
      <c r="G105" t="s">
        <v>609</v>
      </c>
    </row>
    <row r="106" spans="1:7" x14ac:dyDescent="0.3">
      <c r="A106" s="1" t="s">
        <v>715</v>
      </c>
      <c r="B106" s="1" t="s">
        <v>604</v>
      </c>
      <c r="C106" s="1" t="s">
        <v>613</v>
      </c>
      <c r="D106" s="1">
        <v>319</v>
      </c>
      <c r="E106" s="1">
        <v>3</v>
      </c>
      <c r="F106" s="1">
        <v>3</v>
      </c>
      <c r="G106" s="1" t="s">
        <v>606</v>
      </c>
    </row>
    <row r="107" spans="1:7" x14ac:dyDescent="0.3">
      <c r="A107" t="s">
        <v>716</v>
      </c>
      <c r="B107" t="s">
        <v>604</v>
      </c>
      <c r="C107" t="s">
        <v>605</v>
      </c>
      <c r="D107">
        <v>3043</v>
      </c>
      <c r="E107">
        <v>18</v>
      </c>
      <c r="G107" t="s">
        <v>609</v>
      </c>
    </row>
    <row r="108" spans="1:7" x14ac:dyDescent="0.3">
      <c r="A108" s="1" t="s">
        <v>717</v>
      </c>
      <c r="B108" s="1" t="s">
        <v>611</v>
      </c>
      <c r="C108" s="1" t="s">
        <v>613</v>
      </c>
      <c r="D108" s="1">
        <v>2766</v>
      </c>
      <c r="E108" s="1">
        <v>0</v>
      </c>
      <c r="F108" s="1">
        <v>0</v>
      </c>
      <c r="G108" s="1" t="s">
        <v>606</v>
      </c>
    </row>
    <row r="109" spans="1:7" x14ac:dyDescent="0.3">
      <c r="A109" t="s">
        <v>718</v>
      </c>
      <c r="B109" t="s">
        <v>611</v>
      </c>
      <c r="C109" t="s">
        <v>613</v>
      </c>
      <c r="D109">
        <v>616</v>
      </c>
      <c r="E109">
        <v>16</v>
      </c>
      <c r="F109">
        <v>0</v>
      </c>
      <c r="G109" t="s">
        <v>606</v>
      </c>
    </row>
    <row r="110" spans="1:7" x14ac:dyDescent="0.3">
      <c r="A110" s="1" t="s">
        <v>719</v>
      </c>
      <c r="B110" s="1" t="s">
        <v>604</v>
      </c>
      <c r="C110" s="1" t="s">
        <v>613</v>
      </c>
      <c r="D110" s="1">
        <v>1350</v>
      </c>
      <c r="E110" s="1">
        <v>11</v>
      </c>
      <c r="F110" s="1">
        <v>3</v>
      </c>
      <c r="G110" s="1" t="s">
        <v>606</v>
      </c>
    </row>
    <row r="111" spans="1:7" x14ac:dyDescent="0.3">
      <c r="A111" t="s">
        <v>720</v>
      </c>
      <c r="B111" t="s">
        <v>604</v>
      </c>
      <c r="C111" t="s">
        <v>613</v>
      </c>
      <c r="D111">
        <v>3389</v>
      </c>
      <c r="E111">
        <v>18</v>
      </c>
      <c r="F111">
        <v>2</v>
      </c>
      <c r="G111" t="s">
        <v>609</v>
      </c>
    </row>
    <row r="112" spans="1:7" x14ac:dyDescent="0.3">
      <c r="A112" s="1" t="s">
        <v>721</v>
      </c>
      <c r="B112" s="1" t="s">
        <v>604</v>
      </c>
      <c r="C112" s="1" t="s">
        <v>613</v>
      </c>
      <c r="D112" s="1">
        <v>371</v>
      </c>
      <c r="E112" s="1">
        <v>1</v>
      </c>
      <c r="F112" s="1">
        <v>0</v>
      </c>
      <c r="G112" s="1" t="s">
        <v>606</v>
      </c>
    </row>
    <row r="113" spans="1:7" x14ac:dyDescent="0.3">
      <c r="A113" t="s">
        <v>722</v>
      </c>
      <c r="B113" t="s">
        <v>608</v>
      </c>
      <c r="C113" t="s">
        <v>616</v>
      </c>
      <c r="D113">
        <v>4419</v>
      </c>
      <c r="E113">
        <v>8</v>
      </c>
      <c r="F113">
        <v>2</v>
      </c>
      <c r="G113" t="s">
        <v>609</v>
      </c>
    </row>
    <row r="114" spans="1:7" x14ac:dyDescent="0.3">
      <c r="A114" s="1" t="s">
        <v>723</v>
      </c>
      <c r="B114" s="1" t="s">
        <v>611</v>
      </c>
      <c r="C114" s="1" t="s">
        <v>605</v>
      </c>
      <c r="D114" s="1">
        <v>3530</v>
      </c>
      <c r="E114" s="1">
        <v>3</v>
      </c>
      <c r="F114" s="1">
        <v>1</v>
      </c>
      <c r="G114" s="1" t="s">
        <v>609</v>
      </c>
    </row>
    <row r="115" spans="1:7" x14ac:dyDescent="0.3">
      <c r="A115" t="s">
        <v>724</v>
      </c>
      <c r="B115" t="s">
        <v>611</v>
      </c>
      <c r="C115" t="s">
        <v>605</v>
      </c>
      <c r="D115">
        <v>565</v>
      </c>
      <c r="E115">
        <v>13</v>
      </c>
      <c r="F115">
        <v>2</v>
      </c>
      <c r="G115" t="s">
        <v>609</v>
      </c>
    </row>
    <row r="116" spans="1:7" x14ac:dyDescent="0.3">
      <c r="A116" s="1" t="s">
        <v>725</v>
      </c>
      <c r="B116" s="1" t="s">
        <v>611</v>
      </c>
      <c r="C116" s="1" t="s">
        <v>613</v>
      </c>
      <c r="D116" s="1">
        <v>1452</v>
      </c>
      <c r="E116" s="1">
        <v>4</v>
      </c>
      <c r="F116" s="1"/>
      <c r="G116" s="1" t="s">
        <v>606</v>
      </c>
    </row>
    <row r="117" spans="1:7" x14ac:dyDescent="0.3">
      <c r="A117" t="s">
        <v>726</v>
      </c>
      <c r="B117" t="s">
        <v>604</v>
      </c>
      <c r="C117" t="s">
        <v>613</v>
      </c>
      <c r="D117">
        <v>4114</v>
      </c>
      <c r="E117">
        <v>15</v>
      </c>
      <c r="F117">
        <v>3</v>
      </c>
      <c r="G117" t="s">
        <v>609</v>
      </c>
    </row>
    <row r="118" spans="1:7" x14ac:dyDescent="0.3">
      <c r="A118" s="1" t="s">
        <v>727</v>
      </c>
      <c r="B118" s="1" t="s">
        <v>608</v>
      </c>
      <c r="C118" s="1" t="s">
        <v>616</v>
      </c>
      <c r="D118" s="1">
        <v>3930</v>
      </c>
      <c r="E118" s="1">
        <v>4</v>
      </c>
      <c r="F118" s="1"/>
      <c r="G118" s="1" t="s">
        <v>606</v>
      </c>
    </row>
    <row r="119" spans="1:7" x14ac:dyDescent="0.3">
      <c r="A119" t="s">
        <v>728</v>
      </c>
      <c r="B119" t="s">
        <v>604</v>
      </c>
      <c r="C119" t="s">
        <v>616</v>
      </c>
      <c r="D119">
        <v>2988</v>
      </c>
      <c r="E119">
        <v>12</v>
      </c>
      <c r="F119">
        <v>1</v>
      </c>
      <c r="G119" t="s">
        <v>609</v>
      </c>
    </row>
    <row r="120" spans="1:7" x14ac:dyDescent="0.3">
      <c r="A120" s="1" t="s">
        <v>729</v>
      </c>
      <c r="B120" s="1" t="s">
        <v>608</v>
      </c>
      <c r="C120" s="1" t="s">
        <v>616</v>
      </c>
      <c r="D120" s="1">
        <v>4243</v>
      </c>
      <c r="E120" s="1">
        <v>17</v>
      </c>
      <c r="F120" s="1"/>
      <c r="G120" s="1" t="s">
        <v>609</v>
      </c>
    </row>
    <row r="121" spans="1:7" x14ac:dyDescent="0.3">
      <c r="A121" t="s">
        <v>730</v>
      </c>
      <c r="B121" t="s">
        <v>611</v>
      </c>
      <c r="C121" t="s">
        <v>613</v>
      </c>
      <c r="D121">
        <v>4732</v>
      </c>
      <c r="E121">
        <v>3</v>
      </c>
      <c r="F121">
        <v>0</v>
      </c>
      <c r="G121" t="s">
        <v>606</v>
      </c>
    </row>
    <row r="122" spans="1:7" x14ac:dyDescent="0.3">
      <c r="A122" s="1" t="s">
        <v>731</v>
      </c>
      <c r="B122" s="1" t="s">
        <v>611</v>
      </c>
      <c r="C122" s="1" t="s">
        <v>616</v>
      </c>
      <c r="D122" s="1">
        <v>136</v>
      </c>
      <c r="E122" s="1">
        <v>0</v>
      </c>
      <c r="F122" s="1"/>
      <c r="G122" s="1" t="s">
        <v>609</v>
      </c>
    </row>
    <row r="123" spans="1:7" x14ac:dyDescent="0.3">
      <c r="A123" t="s">
        <v>732</v>
      </c>
      <c r="B123" t="s">
        <v>604</v>
      </c>
      <c r="C123" t="s">
        <v>616</v>
      </c>
      <c r="D123">
        <v>1606</v>
      </c>
      <c r="E123">
        <v>0</v>
      </c>
      <c r="F123">
        <v>0</v>
      </c>
      <c r="G123" t="s">
        <v>606</v>
      </c>
    </row>
    <row r="124" spans="1:7" x14ac:dyDescent="0.3">
      <c r="A124" s="1" t="s">
        <v>733</v>
      </c>
      <c r="B124" s="1" t="s">
        <v>608</v>
      </c>
      <c r="C124" s="1" t="s">
        <v>616</v>
      </c>
      <c r="D124" s="1">
        <v>3164</v>
      </c>
      <c r="E124" s="1">
        <v>13</v>
      </c>
      <c r="F124" s="1">
        <v>2</v>
      </c>
      <c r="G124" s="1" t="s">
        <v>606</v>
      </c>
    </row>
    <row r="125" spans="1:7" x14ac:dyDescent="0.3">
      <c r="A125" t="s">
        <v>734</v>
      </c>
      <c r="B125" t="s">
        <v>608</v>
      </c>
      <c r="C125" t="s">
        <v>605</v>
      </c>
      <c r="D125">
        <v>1903</v>
      </c>
      <c r="E125">
        <v>14</v>
      </c>
      <c r="G125" t="s">
        <v>606</v>
      </c>
    </row>
    <row r="126" spans="1:7" x14ac:dyDescent="0.3">
      <c r="A126" s="1" t="s">
        <v>735</v>
      </c>
      <c r="B126" s="1" t="s">
        <v>608</v>
      </c>
      <c r="C126" s="1" t="s">
        <v>616</v>
      </c>
      <c r="D126" s="1">
        <v>4100</v>
      </c>
      <c r="E126" s="1">
        <v>10</v>
      </c>
      <c r="F126" s="1">
        <v>0</v>
      </c>
      <c r="G126" s="1" t="s">
        <v>609</v>
      </c>
    </row>
    <row r="127" spans="1:7" x14ac:dyDescent="0.3">
      <c r="A127" t="s">
        <v>736</v>
      </c>
      <c r="B127" t="s">
        <v>604</v>
      </c>
      <c r="C127" t="s">
        <v>616</v>
      </c>
      <c r="D127">
        <v>1587</v>
      </c>
      <c r="E127">
        <v>10</v>
      </c>
      <c r="F127">
        <v>0</v>
      </c>
      <c r="G127" t="s">
        <v>609</v>
      </c>
    </row>
    <row r="128" spans="1:7" x14ac:dyDescent="0.3">
      <c r="A128" s="1" t="s">
        <v>737</v>
      </c>
      <c r="B128" s="1" t="s">
        <v>608</v>
      </c>
      <c r="C128" s="1" t="s">
        <v>616</v>
      </c>
      <c r="D128" s="1">
        <v>912</v>
      </c>
      <c r="E128" s="1">
        <v>0</v>
      </c>
      <c r="F128" s="1">
        <v>2</v>
      </c>
      <c r="G128" s="1" t="s">
        <v>606</v>
      </c>
    </row>
    <row r="129" spans="1:7" x14ac:dyDescent="0.3">
      <c r="A129" t="s">
        <v>738</v>
      </c>
      <c r="B129" t="s">
        <v>611</v>
      </c>
      <c r="C129" t="s">
        <v>613</v>
      </c>
      <c r="D129">
        <v>3270</v>
      </c>
      <c r="E129">
        <v>17</v>
      </c>
      <c r="F129">
        <v>0</v>
      </c>
      <c r="G129" t="s">
        <v>606</v>
      </c>
    </row>
    <row r="130" spans="1:7" x14ac:dyDescent="0.3">
      <c r="A130" s="1" t="s">
        <v>739</v>
      </c>
      <c r="B130" s="1" t="s">
        <v>611</v>
      </c>
      <c r="C130" s="1" t="s">
        <v>616</v>
      </c>
      <c r="D130" s="1">
        <v>575</v>
      </c>
      <c r="E130" s="1">
        <v>9</v>
      </c>
      <c r="F130" s="1">
        <v>0</v>
      </c>
      <c r="G130" s="1" t="s">
        <v>606</v>
      </c>
    </row>
    <row r="131" spans="1:7" x14ac:dyDescent="0.3">
      <c r="A131" t="s">
        <v>740</v>
      </c>
      <c r="B131" t="s">
        <v>604</v>
      </c>
      <c r="C131" t="s">
        <v>605</v>
      </c>
      <c r="D131">
        <v>2567</v>
      </c>
      <c r="E131">
        <v>12</v>
      </c>
      <c r="G131" t="s">
        <v>609</v>
      </c>
    </row>
    <row r="132" spans="1:7" x14ac:dyDescent="0.3">
      <c r="A132" s="1" t="s">
        <v>741</v>
      </c>
      <c r="B132" s="1" t="s">
        <v>604</v>
      </c>
      <c r="C132" s="1" t="s">
        <v>605</v>
      </c>
      <c r="D132" s="1">
        <v>2451</v>
      </c>
      <c r="E132" s="1">
        <v>15</v>
      </c>
      <c r="F132" s="1">
        <v>3</v>
      </c>
      <c r="G132" s="1" t="s">
        <v>606</v>
      </c>
    </row>
    <row r="133" spans="1:7" x14ac:dyDescent="0.3">
      <c r="A133" t="s">
        <v>742</v>
      </c>
      <c r="B133" t="s">
        <v>604</v>
      </c>
      <c r="C133" t="s">
        <v>613</v>
      </c>
      <c r="D133">
        <v>3551</v>
      </c>
      <c r="E133">
        <v>10</v>
      </c>
      <c r="F133">
        <v>1</v>
      </c>
      <c r="G133" t="s">
        <v>606</v>
      </c>
    </row>
    <row r="134" spans="1:7" x14ac:dyDescent="0.3">
      <c r="A134" s="1" t="s">
        <v>743</v>
      </c>
      <c r="B134" s="1" t="s">
        <v>604</v>
      </c>
      <c r="C134" s="1" t="s">
        <v>605</v>
      </c>
      <c r="D134" s="1">
        <v>3405</v>
      </c>
      <c r="E134" s="1">
        <v>19</v>
      </c>
      <c r="F134" s="1"/>
      <c r="G134" s="1" t="s">
        <v>606</v>
      </c>
    </row>
    <row r="135" spans="1:7" x14ac:dyDescent="0.3">
      <c r="A135" t="s">
        <v>744</v>
      </c>
      <c r="B135" t="s">
        <v>604</v>
      </c>
      <c r="C135" t="s">
        <v>616</v>
      </c>
      <c r="D135">
        <v>1684</v>
      </c>
      <c r="E135">
        <v>1</v>
      </c>
      <c r="F135">
        <v>0</v>
      </c>
      <c r="G135" t="s">
        <v>606</v>
      </c>
    </row>
    <row r="136" spans="1:7" x14ac:dyDescent="0.3">
      <c r="A136" s="1" t="s">
        <v>745</v>
      </c>
      <c r="B136" s="1" t="s">
        <v>608</v>
      </c>
      <c r="C136" s="1" t="s">
        <v>616</v>
      </c>
      <c r="D136" s="1">
        <v>2073</v>
      </c>
      <c r="E136" s="1">
        <v>2</v>
      </c>
      <c r="F136" s="1">
        <v>3</v>
      </c>
      <c r="G136" s="1" t="s">
        <v>606</v>
      </c>
    </row>
    <row r="137" spans="1:7" x14ac:dyDescent="0.3">
      <c r="A137" t="s">
        <v>746</v>
      </c>
      <c r="B137" t="s">
        <v>608</v>
      </c>
      <c r="C137" t="s">
        <v>605</v>
      </c>
      <c r="D137">
        <v>4218</v>
      </c>
      <c r="E137">
        <v>2</v>
      </c>
      <c r="F137">
        <v>3</v>
      </c>
      <c r="G137" t="s">
        <v>609</v>
      </c>
    </row>
    <row r="138" spans="1:7" x14ac:dyDescent="0.3">
      <c r="A138" s="1" t="s">
        <v>747</v>
      </c>
      <c r="B138" s="1" t="s">
        <v>611</v>
      </c>
      <c r="C138" s="1" t="s">
        <v>616</v>
      </c>
      <c r="D138" s="1">
        <v>2651</v>
      </c>
      <c r="E138" s="1">
        <v>14</v>
      </c>
      <c r="F138" s="1">
        <v>2</v>
      </c>
      <c r="G138" s="1" t="s">
        <v>606</v>
      </c>
    </row>
    <row r="139" spans="1:7" x14ac:dyDescent="0.3">
      <c r="A139" t="s">
        <v>748</v>
      </c>
      <c r="B139" t="s">
        <v>604</v>
      </c>
      <c r="C139" t="s">
        <v>616</v>
      </c>
      <c r="D139">
        <v>355</v>
      </c>
      <c r="E139">
        <v>0</v>
      </c>
      <c r="F139">
        <v>0</v>
      </c>
      <c r="G139" t="s">
        <v>609</v>
      </c>
    </row>
    <row r="140" spans="1:7" x14ac:dyDescent="0.3">
      <c r="A140" s="1" t="s">
        <v>749</v>
      </c>
      <c r="B140" s="1" t="s">
        <v>611</v>
      </c>
      <c r="C140" s="1" t="s">
        <v>605</v>
      </c>
      <c r="D140" s="1">
        <v>4766</v>
      </c>
      <c r="E140" s="1">
        <v>15</v>
      </c>
      <c r="F140" s="1"/>
      <c r="G140" s="1" t="s">
        <v>606</v>
      </c>
    </row>
    <row r="141" spans="1:7" x14ac:dyDescent="0.3">
      <c r="A141" t="s">
        <v>750</v>
      </c>
      <c r="B141" t="s">
        <v>604</v>
      </c>
      <c r="C141" t="s">
        <v>616</v>
      </c>
      <c r="D141">
        <v>1113</v>
      </c>
      <c r="E141">
        <v>1</v>
      </c>
      <c r="F141">
        <v>2</v>
      </c>
      <c r="G141" t="s">
        <v>606</v>
      </c>
    </row>
    <row r="142" spans="1:7" x14ac:dyDescent="0.3">
      <c r="A142" s="1" t="s">
        <v>751</v>
      </c>
      <c r="B142" s="1" t="s">
        <v>611</v>
      </c>
      <c r="C142" s="1" t="s">
        <v>605</v>
      </c>
      <c r="D142" s="1">
        <v>1850</v>
      </c>
      <c r="E142" s="1">
        <v>7</v>
      </c>
      <c r="F142" s="1">
        <v>1</v>
      </c>
      <c r="G142" s="1" t="s">
        <v>606</v>
      </c>
    </row>
    <row r="143" spans="1:7" x14ac:dyDescent="0.3">
      <c r="A143" t="s">
        <v>752</v>
      </c>
      <c r="B143" t="s">
        <v>604</v>
      </c>
      <c r="C143" t="s">
        <v>613</v>
      </c>
      <c r="D143">
        <v>197</v>
      </c>
      <c r="E143">
        <v>10</v>
      </c>
      <c r="F143">
        <v>2</v>
      </c>
      <c r="G143" t="s">
        <v>609</v>
      </c>
    </row>
    <row r="144" spans="1:7" x14ac:dyDescent="0.3">
      <c r="A144" s="1" t="s">
        <v>753</v>
      </c>
      <c r="B144" s="1" t="s">
        <v>611</v>
      </c>
      <c r="C144" s="1" t="s">
        <v>616</v>
      </c>
      <c r="D144" s="1">
        <v>411</v>
      </c>
      <c r="E144" s="1">
        <v>2</v>
      </c>
      <c r="F144" s="1">
        <v>2</v>
      </c>
      <c r="G144" s="1" t="s">
        <v>606</v>
      </c>
    </row>
    <row r="145" spans="1:7" x14ac:dyDescent="0.3">
      <c r="A145" t="s">
        <v>754</v>
      </c>
      <c r="B145" t="s">
        <v>608</v>
      </c>
      <c r="C145" t="s">
        <v>613</v>
      </c>
      <c r="D145">
        <v>4310</v>
      </c>
      <c r="E145">
        <v>18</v>
      </c>
      <c r="G145" t="s">
        <v>606</v>
      </c>
    </row>
    <row r="146" spans="1:7" x14ac:dyDescent="0.3">
      <c r="A146" s="1" t="s">
        <v>755</v>
      </c>
      <c r="B146" s="1" t="s">
        <v>604</v>
      </c>
      <c r="C146" s="1" t="s">
        <v>605</v>
      </c>
      <c r="D146" s="1">
        <v>4739</v>
      </c>
      <c r="E146" s="1">
        <v>10</v>
      </c>
      <c r="F146" s="1"/>
      <c r="G146" s="1" t="s">
        <v>606</v>
      </c>
    </row>
    <row r="147" spans="1:7" x14ac:dyDescent="0.3">
      <c r="A147" t="s">
        <v>756</v>
      </c>
      <c r="B147" t="s">
        <v>604</v>
      </c>
      <c r="C147" t="s">
        <v>605</v>
      </c>
      <c r="D147">
        <v>4920</v>
      </c>
      <c r="E147">
        <v>2</v>
      </c>
      <c r="F147">
        <v>0</v>
      </c>
      <c r="G147" t="s">
        <v>606</v>
      </c>
    </row>
    <row r="148" spans="1:7" x14ac:dyDescent="0.3">
      <c r="A148" s="1" t="s">
        <v>757</v>
      </c>
      <c r="B148" s="1" t="s">
        <v>604</v>
      </c>
      <c r="C148" s="1" t="s">
        <v>613</v>
      </c>
      <c r="D148" s="1">
        <v>512</v>
      </c>
      <c r="E148" s="1">
        <v>3</v>
      </c>
      <c r="F148" s="1">
        <v>3</v>
      </c>
      <c r="G148" s="1" t="s">
        <v>609</v>
      </c>
    </row>
    <row r="149" spans="1:7" x14ac:dyDescent="0.3">
      <c r="A149" t="s">
        <v>758</v>
      </c>
      <c r="B149" t="s">
        <v>608</v>
      </c>
      <c r="C149" t="s">
        <v>616</v>
      </c>
      <c r="D149">
        <v>1660</v>
      </c>
      <c r="E149">
        <v>11</v>
      </c>
      <c r="F149">
        <v>1</v>
      </c>
      <c r="G149" t="s">
        <v>606</v>
      </c>
    </row>
    <row r="150" spans="1:7" x14ac:dyDescent="0.3">
      <c r="A150" s="1" t="s">
        <v>759</v>
      </c>
      <c r="B150" s="1" t="s">
        <v>611</v>
      </c>
      <c r="C150" s="1" t="s">
        <v>605</v>
      </c>
      <c r="D150" s="1">
        <v>4985</v>
      </c>
      <c r="E150" s="1">
        <v>2</v>
      </c>
      <c r="F150" s="1">
        <v>0</v>
      </c>
      <c r="G150" s="1" t="s">
        <v>609</v>
      </c>
    </row>
    <row r="151" spans="1:7" x14ac:dyDescent="0.3">
      <c r="A151" t="s">
        <v>760</v>
      </c>
      <c r="B151" t="s">
        <v>604</v>
      </c>
      <c r="C151" t="s">
        <v>605</v>
      </c>
      <c r="D151">
        <v>1443</v>
      </c>
      <c r="E151">
        <v>17</v>
      </c>
      <c r="F151">
        <v>3</v>
      </c>
      <c r="G151" t="s">
        <v>606</v>
      </c>
    </row>
    <row r="152" spans="1:7" x14ac:dyDescent="0.3">
      <c r="A152" s="1" t="s">
        <v>761</v>
      </c>
      <c r="B152" s="1" t="s">
        <v>611</v>
      </c>
      <c r="C152" s="1" t="s">
        <v>613</v>
      </c>
      <c r="D152" s="1">
        <v>1274</v>
      </c>
      <c r="E152" s="1">
        <v>6</v>
      </c>
      <c r="F152" s="1">
        <v>1</v>
      </c>
      <c r="G152" s="1" t="s">
        <v>606</v>
      </c>
    </row>
    <row r="153" spans="1:7" x14ac:dyDescent="0.3">
      <c r="A153" t="s">
        <v>762</v>
      </c>
      <c r="B153" t="s">
        <v>611</v>
      </c>
      <c r="C153" t="s">
        <v>605</v>
      </c>
      <c r="D153">
        <v>687</v>
      </c>
      <c r="E153">
        <v>17</v>
      </c>
      <c r="F153">
        <v>3</v>
      </c>
      <c r="G153" t="s">
        <v>609</v>
      </c>
    </row>
    <row r="154" spans="1:7" x14ac:dyDescent="0.3">
      <c r="A154" s="1" t="s">
        <v>763</v>
      </c>
      <c r="B154" s="1" t="s">
        <v>608</v>
      </c>
      <c r="C154" s="1" t="s">
        <v>613</v>
      </c>
      <c r="D154" s="1">
        <v>1837</v>
      </c>
      <c r="E154" s="1">
        <v>3</v>
      </c>
      <c r="F154" s="1">
        <v>0</v>
      </c>
      <c r="G154" s="1" t="s">
        <v>606</v>
      </c>
    </row>
    <row r="155" spans="1:7" x14ac:dyDescent="0.3">
      <c r="A155" t="s">
        <v>764</v>
      </c>
      <c r="B155" t="s">
        <v>611</v>
      </c>
      <c r="C155" t="s">
        <v>613</v>
      </c>
      <c r="D155">
        <v>2180</v>
      </c>
      <c r="E155">
        <v>13</v>
      </c>
      <c r="F155">
        <v>0</v>
      </c>
      <c r="G155" t="s">
        <v>606</v>
      </c>
    </row>
    <row r="156" spans="1:7" x14ac:dyDescent="0.3">
      <c r="A156" s="1" t="s">
        <v>765</v>
      </c>
      <c r="B156" s="1" t="s">
        <v>608</v>
      </c>
      <c r="C156" s="1" t="s">
        <v>616</v>
      </c>
      <c r="D156" s="1">
        <v>194</v>
      </c>
      <c r="E156" s="1">
        <v>1</v>
      </c>
      <c r="F156" s="1"/>
      <c r="G156" s="1" t="s">
        <v>609</v>
      </c>
    </row>
    <row r="157" spans="1:7" x14ac:dyDescent="0.3">
      <c r="A157" t="s">
        <v>766</v>
      </c>
      <c r="B157" t="s">
        <v>611</v>
      </c>
      <c r="C157" t="s">
        <v>616</v>
      </c>
      <c r="D157">
        <v>2483</v>
      </c>
      <c r="E157">
        <v>14</v>
      </c>
      <c r="F157">
        <v>0</v>
      </c>
      <c r="G157" t="s">
        <v>609</v>
      </c>
    </row>
    <row r="158" spans="1:7" x14ac:dyDescent="0.3">
      <c r="A158" s="1" t="s">
        <v>767</v>
      </c>
      <c r="B158" s="1" t="s">
        <v>608</v>
      </c>
      <c r="C158" s="1" t="s">
        <v>605</v>
      </c>
      <c r="D158" s="1">
        <v>1327</v>
      </c>
      <c r="E158" s="1">
        <v>13</v>
      </c>
      <c r="F158" s="1"/>
      <c r="G158" s="1" t="s">
        <v>606</v>
      </c>
    </row>
    <row r="159" spans="1:7" x14ac:dyDescent="0.3">
      <c r="A159" t="s">
        <v>768</v>
      </c>
      <c r="B159" t="s">
        <v>608</v>
      </c>
      <c r="C159" t="s">
        <v>616</v>
      </c>
      <c r="D159">
        <v>1680</v>
      </c>
      <c r="E159">
        <v>13</v>
      </c>
      <c r="F159">
        <v>3</v>
      </c>
      <c r="G159" t="s">
        <v>609</v>
      </c>
    </row>
    <row r="160" spans="1:7" x14ac:dyDescent="0.3">
      <c r="A160" s="1" t="s">
        <v>769</v>
      </c>
      <c r="B160" s="1" t="s">
        <v>604</v>
      </c>
      <c r="C160" s="1" t="s">
        <v>613</v>
      </c>
      <c r="D160" s="1">
        <v>3654</v>
      </c>
      <c r="E160" s="1">
        <v>5</v>
      </c>
      <c r="F160" s="1">
        <v>1</v>
      </c>
      <c r="G160" s="1" t="s">
        <v>606</v>
      </c>
    </row>
    <row r="161" spans="1:7" x14ac:dyDescent="0.3">
      <c r="A161" t="s">
        <v>770</v>
      </c>
      <c r="B161" t="s">
        <v>611</v>
      </c>
      <c r="C161" t="s">
        <v>613</v>
      </c>
      <c r="D161">
        <v>3335</v>
      </c>
      <c r="E161">
        <v>3</v>
      </c>
      <c r="F161">
        <v>1</v>
      </c>
      <c r="G161" t="s">
        <v>606</v>
      </c>
    </row>
    <row r="162" spans="1:7" x14ac:dyDescent="0.3">
      <c r="A162" s="1" t="s">
        <v>771</v>
      </c>
      <c r="B162" s="1" t="s">
        <v>608</v>
      </c>
      <c r="C162" s="1" t="s">
        <v>616</v>
      </c>
      <c r="D162" s="1">
        <v>4305</v>
      </c>
      <c r="E162" s="1">
        <v>5</v>
      </c>
      <c r="F162" s="1"/>
      <c r="G162" s="1" t="s">
        <v>606</v>
      </c>
    </row>
    <row r="163" spans="1:7" x14ac:dyDescent="0.3">
      <c r="A163" t="s">
        <v>772</v>
      </c>
      <c r="B163" t="s">
        <v>604</v>
      </c>
      <c r="C163" t="s">
        <v>613</v>
      </c>
      <c r="D163">
        <v>2421</v>
      </c>
      <c r="E163">
        <v>10</v>
      </c>
      <c r="F163">
        <v>2</v>
      </c>
      <c r="G163" t="s">
        <v>606</v>
      </c>
    </row>
    <row r="164" spans="1:7" x14ac:dyDescent="0.3">
      <c r="A164" s="1" t="s">
        <v>773</v>
      </c>
      <c r="B164" s="1" t="s">
        <v>608</v>
      </c>
      <c r="C164" s="1" t="s">
        <v>613</v>
      </c>
      <c r="D164" s="1">
        <v>2569</v>
      </c>
      <c r="E164" s="1">
        <v>12</v>
      </c>
      <c r="F164" s="1">
        <v>2</v>
      </c>
      <c r="G164" s="1" t="s">
        <v>609</v>
      </c>
    </row>
    <row r="165" spans="1:7" x14ac:dyDescent="0.3">
      <c r="A165" t="s">
        <v>774</v>
      </c>
      <c r="B165" t="s">
        <v>604</v>
      </c>
      <c r="C165" t="s">
        <v>605</v>
      </c>
      <c r="D165">
        <v>3697</v>
      </c>
      <c r="E165">
        <v>3</v>
      </c>
      <c r="F165">
        <v>3</v>
      </c>
      <c r="G165" t="s">
        <v>609</v>
      </c>
    </row>
    <row r="166" spans="1:7" x14ac:dyDescent="0.3">
      <c r="A166" s="1" t="s">
        <v>775</v>
      </c>
      <c r="B166" s="1" t="s">
        <v>604</v>
      </c>
      <c r="C166" s="1" t="s">
        <v>616</v>
      </c>
      <c r="D166" s="1">
        <v>234</v>
      </c>
      <c r="E166" s="1">
        <v>6</v>
      </c>
      <c r="F166" s="1">
        <v>2</v>
      </c>
      <c r="G166" s="1" t="s">
        <v>609</v>
      </c>
    </row>
    <row r="167" spans="1:7" x14ac:dyDescent="0.3">
      <c r="A167" t="s">
        <v>776</v>
      </c>
      <c r="B167" t="s">
        <v>608</v>
      </c>
      <c r="C167" t="s">
        <v>605</v>
      </c>
      <c r="D167">
        <v>2732</v>
      </c>
      <c r="E167">
        <v>16</v>
      </c>
      <c r="F167">
        <v>3</v>
      </c>
      <c r="G167" t="s">
        <v>609</v>
      </c>
    </row>
    <row r="168" spans="1:7" x14ac:dyDescent="0.3">
      <c r="A168" s="1" t="s">
        <v>777</v>
      </c>
      <c r="B168" s="1" t="s">
        <v>611</v>
      </c>
      <c r="C168" s="1" t="s">
        <v>605</v>
      </c>
      <c r="D168" s="1">
        <v>1621</v>
      </c>
      <c r="E168" s="1">
        <v>6</v>
      </c>
      <c r="F168" s="1">
        <v>2</v>
      </c>
      <c r="G168" s="1" t="s">
        <v>606</v>
      </c>
    </row>
    <row r="169" spans="1:7" x14ac:dyDescent="0.3">
      <c r="A169" t="s">
        <v>778</v>
      </c>
      <c r="B169" t="s">
        <v>608</v>
      </c>
      <c r="C169" t="s">
        <v>613</v>
      </c>
      <c r="D169">
        <v>4704</v>
      </c>
      <c r="E169">
        <v>18</v>
      </c>
      <c r="F169">
        <v>2</v>
      </c>
      <c r="G169" t="s">
        <v>606</v>
      </c>
    </row>
    <row r="170" spans="1:7" x14ac:dyDescent="0.3">
      <c r="A170" s="1" t="s">
        <v>779</v>
      </c>
      <c r="B170" s="1" t="s">
        <v>611</v>
      </c>
      <c r="C170" s="1" t="s">
        <v>616</v>
      </c>
      <c r="D170" s="1">
        <v>1308</v>
      </c>
      <c r="E170" s="1">
        <v>16</v>
      </c>
      <c r="F170" s="1"/>
      <c r="G170" s="1" t="s">
        <v>606</v>
      </c>
    </row>
    <row r="171" spans="1:7" x14ac:dyDescent="0.3">
      <c r="A171" t="s">
        <v>780</v>
      </c>
      <c r="B171" t="s">
        <v>604</v>
      </c>
      <c r="C171" t="s">
        <v>613</v>
      </c>
      <c r="D171">
        <v>3995</v>
      </c>
      <c r="E171">
        <v>11</v>
      </c>
      <c r="F171">
        <v>0</v>
      </c>
      <c r="G171" t="s">
        <v>609</v>
      </c>
    </row>
    <row r="172" spans="1:7" x14ac:dyDescent="0.3">
      <c r="A172" s="1" t="s">
        <v>781</v>
      </c>
      <c r="B172" s="1" t="s">
        <v>608</v>
      </c>
      <c r="C172" s="1" t="s">
        <v>613</v>
      </c>
      <c r="D172" s="1">
        <v>1339</v>
      </c>
      <c r="E172" s="1">
        <v>3</v>
      </c>
      <c r="F172" s="1">
        <v>3</v>
      </c>
      <c r="G172" s="1" t="s">
        <v>609</v>
      </c>
    </row>
    <row r="173" spans="1:7" x14ac:dyDescent="0.3">
      <c r="A173" t="s">
        <v>782</v>
      </c>
      <c r="B173" t="s">
        <v>611</v>
      </c>
      <c r="C173" t="s">
        <v>605</v>
      </c>
      <c r="D173">
        <v>4230</v>
      </c>
      <c r="E173">
        <v>17</v>
      </c>
      <c r="G173" t="s">
        <v>606</v>
      </c>
    </row>
    <row r="174" spans="1:7" x14ac:dyDescent="0.3">
      <c r="A174" s="1" t="s">
        <v>783</v>
      </c>
      <c r="B174" s="1" t="s">
        <v>608</v>
      </c>
      <c r="C174" s="1" t="s">
        <v>613</v>
      </c>
      <c r="D174" s="1">
        <v>1141</v>
      </c>
      <c r="E174" s="1">
        <v>11</v>
      </c>
      <c r="F174" s="1"/>
      <c r="G174" s="1" t="s">
        <v>609</v>
      </c>
    </row>
    <row r="175" spans="1:7" x14ac:dyDescent="0.3">
      <c r="A175" t="s">
        <v>784</v>
      </c>
      <c r="B175" t="s">
        <v>608</v>
      </c>
      <c r="C175" t="s">
        <v>616</v>
      </c>
      <c r="D175">
        <v>1303</v>
      </c>
      <c r="E175">
        <v>1</v>
      </c>
      <c r="G175" t="s">
        <v>606</v>
      </c>
    </row>
    <row r="176" spans="1:7" x14ac:dyDescent="0.3">
      <c r="A176" s="1" t="s">
        <v>785</v>
      </c>
      <c r="B176" s="1" t="s">
        <v>604</v>
      </c>
      <c r="C176" s="1" t="s">
        <v>613</v>
      </c>
      <c r="D176" s="1">
        <v>1274</v>
      </c>
      <c r="E176" s="1">
        <v>18</v>
      </c>
      <c r="F176" s="1">
        <v>1</v>
      </c>
      <c r="G176" s="1" t="s">
        <v>609</v>
      </c>
    </row>
    <row r="177" spans="1:7" x14ac:dyDescent="0.3">
      <c r="A177" t="s">
        <v>786</v>
      </c>
      <c r="B177" t="s">
        <v>611</v>
      </c>
      <c r="C177" t="s">
        <v>616</v>
      </c>
      <c r="D177">
        <v>3238</v>
      </c>
      <c r="E177">
        <v>8</v>
      </c>
      <c r="G177" t="s">
        <v>606</v>
      </c>
    </row>
    <row r="178" spans="1:7" x14ac:dyDescent="0.3">
      <c r="A178" s="1" t="s">
        <v>787</v>
      </c>
      <c r="B178" s="1" t="s">
        <v>611</v>
      </c>
      <c r="C178" s="1" t="s">
        <v>616</v>
      </c>
      <c r="D178" s="1">
        <v>4252</v>
      </c>
      <c r="E178" s="1">
        <v>14</v>
      </c>
      <c r="F178" s="1"/>
      <c r="G178" s="1" t="s">
        <v>609</v>
      </c>
    </row>
    <row r="179" spans="1:7" x14ac:dyDescent="0.3">
      <c r="A179" t="s">
        <v>788</v>
      </c>
      <c r="B179" t="s">
        <v>611</v>
      </c>
      <c r="C179" t="s">
        <v>616</v>
      </c>
      <c r="D179">
        <v>2731</v>
      </c>
      <c r="E179">
        <v>9</v>
      </c>
      <c r="F179">
        <v>1</v>
      </c>
      <c r="G179" t="s">
        <v>609</v>
      </c>
    </row>
    <row r="180" spans="1:7" x14ac:dyDescent="0.3">
      <c r="A180" s="1" t="s">
        <v>789</v>
      </c>
      <c r="B180" s="1" t="s">
        <v>608</v>
      </c>
      <c r="C180" s="1" t="s">
        <v>613</v>
      </c>
      <c r="D180" s="1">
        <v>4616</v>
      </c>
      <c r="E180" s="1">
        <v>7</v>
      </c>
      <c r="F180" s="1">
        <v>1</v>
      </c>
      <c r="G180" s="1" t="s">
        <v>606</v>
      </c>
    </row>
    <row r="181" spans="1:7" x14ac:dyDescent="0.3">
      <c r="A181" t="s">
        <v>790</v>
      </c>
      <c r="B181" t="s">
        <v>604</v>
      </c>
      <c r="C181" t="s">
        <v>613</v>
      </c>
      <c r="D181">
        <v>341</v>
      </c>
      <c r="E181">
        <v>4</v>
      </c>
      <c r="F181">
        <v>0</v>
      </c>
      <c r="G181" t="s">
        <v>606</v>
      </c>
    </row>
    <row r="182" spans="1:7" x14ac:dyDescent="0.3">
      <c r="A182" s="1" t="s">
        <v>791</v>
      </c>
      <c r="B182" s="1" t="s">
        <v>604</v>
      </c>
      <c r="C182" s="1" t="s">
        <v>605</v>
      </c>
      <c r="D182" s="1">
        <v>4955</v>
      </c>
      <c r="E182" s="1">
        <v>15</v>
      </c>
      <c r="F182" s="1">
        <v>3</v>
      </c>
      <c r="G182" s="1" t="s">
        <v>609</v>
      </c>
    </row>
    <row r="183" spans="1:7" x14ac:dyDescent="0.3">
      <c r="A183" t="s">
        <v>792</v>
      </c>
      <c r="B183" t="s">
        <v>611</v>
      </c>
      <c r="C183" t="s">
        <v>613</v>
      </c>
      <c r="D183">
        <v>2510</v>
      </c>
      <c r="E183">
        <v>14</v>
      </c>
      <c r="F183">
        <v>1</v>
      </c>
      <c r="G183" t="s">
        <v>609</v>
      </c>
    </row>
    <row r="184" spans="1:7" x14ac:dyDescent="0.3">
      <c r="A184" s="1" t="s">
        <v>793</v>
      </c>
      <c r="B184" s="1" t="s">
        <v>604</v>
      </c>
      <c r="C184" s="1" t="s">
        <v>616</v>
      </c>
      <c r="D184" s="1">
        <v>682</v>
      </c>
      <c r="E184" s="1">
        <v>4</v>
      </c>
      <c r="F184" s="1"/>
      <c r="G184" s="1" t="s">
        <v>606</v>
      </c>
    </row>
    <row r="185" spans="1:7" x14ac:dyDescent="0.3">
      <c r="A185" t="s">
        <v>794</v>
      </c>
      <c r="B185" t="s">
        <v>611</v>
      </c>
      <c r="C185" t="s">
        <v>605</v>
      </c>
      <c r="D185">
        <v>2113</v>
      </c>
      <c r="E185">
        <v>15</v>
      </c>
      <c r="F185">
        <v>1</v>
      </c>
      <c r="G185" t="s">
        <v>609</v>
      </c>
    </row>
    <row r="186" spans="1:7" x14ac:dyDescent="0.3">
      <c r="A186" s="1" t="s">
        <v>795</v>
      </c>
      <c r="B186" s="1" t="s">
        <v>604</v>
      </c>
      <c r="C186" s="1" t="s">
        <v>616</v>
      </c>
      <c r="D186" s="1">
        <v>2158</v>
      </c>
      <c r="E186" s="1">
        <v>20</v>
      </c>
      <c r="F186" s="1">
        <v>3</v>
      </c>
      <c r="G186" s="1" t="s">
        <v>606</v>
      </c>
    </row>
    <row r="187" spans="1:7" x14ac:dyDescent="0.3">
      <c r="A187" t="s">
        <v>796</v>
      </c>
      <c r="B187" t="s">
        <v>604</v>
      </c>
      <c r="C187" t="s">
        <v>613</v>
      </c>
      <c r="D187">
        <v>3828</v>
      </c>
      <c r="E187">
        <v>11</v>
      </c>
      <c r="G187" t="s">
        <v>606</v>
      </c>
    </row>
    <row r="188" spans="1:7" x14ac:dyDescent="0.3">
      <c r="A188" s="1" t="s">
        <v>797</v>
      </c>
      <c r="B188" s="1" t="s">
        <v>604</v>
      </c>
      <c r="C188" s="1" t="s">
        <v>616</v>
      </c>
      <c r="D188" s="1">
        <v>991</v>
      </c>
      <c r="E188" s="1">
        <v>14</v>
      </c>
      <c r="F188" s="1"/>
      <c r="G188" s="1" t="s">
        <v>606</v>
      </c>
    </row>
    <row r="189" spans="1:7" x14ac:dyDescent="0.3">
      <c r="A189" t="s">
        <v>798</v>
      </c>
      <c r="B189" t="s">
        <v>611</v>
      </c>
      <c r="C189" t="s">
        <v>605</v>
      </c>
      <c r="D189">
        <v>2659</v>
      </c>
      <c r="E189">
        <v>19</v>
      </c>
      <c r="F189">
        <v>1</v>
      </c>
      <c r="G189" t="s">
        <v>606</v>
      </c>
    </row>
    <row r="190" spans="1:7" x14ac:dyDescent="0.3">
      <c r="A190" s="1" t="s">
        <v>799</v>
      </c>
      <c r="B190" s="1" t="s">
        <v>608</v>
      </c>
      <c r="C190" s="1" t="s">
        <v>616</v>
      </c>
      <c r="D190" s="1">
        <v>4210</v>
      </c>
      <c r="E190" s="1">
        <v>5</v>
      </c>
      <c r="F190" s="1"/>
      <c r="G190" s="1" t="s">
        <v>609</v>
      </c>
    </row>
    <row r="191" spans="1:7" x14ac:dyDescent="0.3">
      <c r="A191" t="s">
        <v>800</v>
      </c>
      <c r="B191" t="s">
        <v>604</v>
      </c>
      <c r="C191" t="s">
        <v>613</v>
      </c>
      <c r="D191">
        <v>1087</v>
      </c>
      <c r="E191">
        <v>7</v>
      </c>
      <c r="F191">
        <v>3</v>
      </c>
      <c r="G191" t="s">
        <v>609</v>
      </c>
    </row>
    <row r="192" spans="1:7" x14ac:dyDescent="0.3">
      <c r="A192" s="1" t="s">
        <v>801</v>
      </c>
      <c r="B192" s="1" t="s">
        <v>611</v>
      </c>
      <c r="C192" s="1" t="s">
        <v>613</v>
      </c>
      <c r="D192" s="1">
        <v>2301</v>
      </c>
      <c r="E192" s="1">
        <v>9</v>
      </c>
      <c r="F192" s="1">
        <v>3</v>
      </c>
      <c r="G192" s="1" t="s">
        <v>609</v>
      </c>
    </row>
    <row r="193" spans="1:7" x14ac:dyDescent="0.3">
      <c r="A193" t="s">
        <v>802</v>
      </c>
      <c r="B193" t="s">
        <v>608</v>
      </c>
      <c r="C193" t="s">
        <v>613</v>
      </c>
      <c r="D193">
        <v>3173</v>
      </c>
      <c r="E193">
        <v>6</v>
      </c>
      <c r="G193" t="s">
        <v>609</v>
      </c>
    </row>
    <row r="194" spans="1:7" x14ac:dyDescent="0.3">
      <c r="A194" s="1" t="s">
        <v>803</v>
      </c>
      <c r="B194" s="1" t="s">
        <v>604</v>
      </c>
      <c r="C194" s="1" t="s">
        <v>616</v>
      </c>
      <c r="D194" s="1">
        <v>4270</v>
      </c>
      <c r="E194" s="1">
        <v>1</v>
      </c>
      <c r="F194" s="1">
        <v>1</v>
      </c>
      <c r="G194" s="1" t="s">
        <v>606</v>
      </c>
    </row>
    <row r="195" spans="1:7" x14ac:dyDescent="0.3">
      <c r="A195" t="s">
        <v>804</v>
      </c>
      <c r="B195" t="s">
        <v>611</v>
      </c>
      <c r="C195" t="s">
        <v>605</v>
      </c>
      <c r="D195">
        <v>665</v>
      </c>
      <c r="E195">
        <v>1</v>
      </c>
      <c r="F195">
        <v>3</v>
      </c>
      <c r="G195" t="s">
        <v>609</v>
      </c>
    </row>
    <row r="196" spans="1:7" x14ac:dyDescent="0.3">
      <c r="A196" s="1" t="s">
        <v>805</v>
      </c>
      <c r="B196" s="1" t="s">
        <v>608</v>
      </c>
      <c r="C196" s="1" t="s">
        <v>613</v>
      </c>
      <c r="D196" s="1">
        <v>2492</v>
      </c>
      <c r="E196" s="1">
        <v>9</v>
      </c>
      <c r="F196" s="1">
        <v>3</v>
      </c>
      <c r="G196" s="1" t="s">
        <v>609</v>
      </c>
    </row>
    <row r="197" spans="1:7" x14ac:dyDescent="0.3">
      <c r="A197" t="s">
        <v>806</v>
      </c>
      <c r="B197" t="s">
        <v>608</v>
      </c>
      <c r="C197" t="s">
        <v>613</v>
      </c>
      <c r="D197">
        <v>1090</v>
      </c>
      <c r="E197">
        <v>7</v>
      </c>
      <c r="F197">
        <v>0</v>
      </c>
      <c r="G197" t="s">
        <v>609</v>
      </c>
    </row>
    <row r="198" spans="1:7" x14ac:dyDescent="0.3">
      <c r="A198" s="1" t="s">
        <v>807</v>
      </c>
      <c r="B198" s="1" t="s">
        <v>608</v>
      </c>
      <c r="C198" s="1" t="s">
        <v>605</v>
      </c>
      <c r="D198" s="1">
        <v>3448</v>
      </c>
      <c r="E198" s="1">
        <v>10</v>
      </c>
      <c r="F198" s="1"/>
      <c r="G198" s="1" t="s">
        <v>606</v>
      </c>
    </row>
    <row r="199" spans="1:7" x14ac:dyDescent="0.3">
      <c r="A199" t="s">
        <v>808</v>
      </c>
      <c r="B199" t="s">
        <v>611</v>
      </c>
      <c r="C199" t="s">
        <v>616</v>
      </c>
      <c r="D199">
        <v>2613</v>
      </c>
      <c r="E199">
        <v>3</v>
      </c>
      <c r="F199">
        <v>1</v>
      </c>
      <c r="G199" t="s">
        <v>606</v>
      </c>
    </row>
    <row r="200" spans="1:7" x14ac:dyDescent="0.3">
      <c r="A200" s="1" t="s">
        <v>809</v>
      </c>
      <c r="B200" s="1" t="s">
        <v>604</v>
      </c>
      <c r="C200" s="1" t="s">
        <v>605</v>
      </c>
      <c r="D200" s="1">
        <v>4428</v>
      </c>
      <c r="E200" s="1">
        <v>20</v>
      </c>
      <c r="F200" s="1">
        <v>3</v>
      </c>
      <c r="G200" s="1" t="s">
        <v>606</v>
      </c>
    </row>
    <row r="201" spans="1:7" ht="15" thickBot="1" x14ac:dyDescent="0.35">
      <c r="A201" s="4" t="s">
        <v>810</v>
      </c>
      <c r="B201" s="4" t="s">
        <v>604</v>
      </c>
      <c r="C201" s="4" t="s">
        <v>605</v>
      </c>
      <c r="D201" s="4">
        <v>507</v>
      </c>
      <c r="E201" s="4">
        <v>8</v>
      </c>
      <c r="F201" s="4"/>
      <c r="G201" s="4" t="s">
        <v>606</v>
      </c>
    </row>
  </sheetData>
  <autoFilter ref="A1:G201" xr:uid="{00000000-0001-0000-05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Finance_Instructions</vt:lpstr>
      <vt:lpstr>Finance_Data</vt:lpstr>
      <vt:lpstr>HR_Instructions</vt:lpstr>
      <vt:lpstr>HR_Data</vt:lpstr>
      <vt:lpstr>Operations_Instructions</vt:lpstr>
      <vt:lpstr>Operations_Data</vt:lpstr>
      <vt:lpstr>Finance_Data!Print_Area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Kaustubh Satpute</cp:lastModifiedBy>
  <dcterms:created xsi:type="dcterms:W3CDTF">2026-01-19T16:11:37Z</dcterms:created>
  <dcterms:modified xsi:type="dcterms:W3CDTF">2026-10-21T07:17:27Z</dcterms:modified>
</cp:coreProperties>
</file>